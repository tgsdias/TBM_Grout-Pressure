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LOUD\01. PUBLICATIONS\17.01 PHD UGENT\03. Codes\"/>
    </mc:Choice>
  </mc:AlternateContent>
  <bookViews>
    <workbookView xWindow="480" yWindow="300" windowWidth="20730" windowHeight="9860" tabRatio="599" xr2:uid="{00000000-000D-0000-FFFF-FFFF00000000}"/>
  </bookViews>
  <sheets>
    <sheet name="TBM_GP" sheetId="5" r:id="rId1"/>
  </sheets>
  <definedNames>
    <definedName name="ExternalData_100" localSheetId="0">TBM_GP!#REF!</definedName>
    <definedName name="ExternalData_1000" localSheetId="0">TBM_GP!$D$2:$E$156</definedName>
    <definedName name="ExternalData_1001" localSheetId="0">TBM_GP!#REF!</definedName>
    <definedName name="ExternalData_1002" localSheetId="0">TBM_GP!$D$2:$E$156</definedName>
    <definedName name="ExternalData_1003" localSheetId="0">TBM_GP!#REF!</definedName>
    <definedName name="ExternalData_1004" localSheetId="0">TBM_GP!$D$2:$E$156</definedName>
    <definedName name="ExternalData_1005" localSheetId="0">TBM_GP!#REF!</definedName>
    <definedName name="ExternalData_1006" localSheetId="0">TBM_GP!$D$2:$E$156</definedName>
    <definedName name="ExternalData_1007" localSheetId="0">TBM_GP!#REF!</definedName>
    <definedName name="ExternalData_1008" localSheetId="0">TBM_GP!$D$2:$E$156</definedName>
    <definedName name="ExternalData_1009" localSheetId="0">TBM_GP!#REF!</definedName>
    <definedName name="ExternalData_1010" localSheetId="0">TBM_GP!$D$2:$E$156</definedName>
    <definedName name="ExternalData_1011" localSheetId="0">TBM_GP!#REF!</definedName>
    <definedName name="ExternalData_1012" localSheetId="0">TBM_GP!$D$2:$E$156</definedName>
    <definedName name="ExternalData_1013" localSheetId="0">TBM_GP!#REF!</definedName>
    <definedName name="ExternalData_1014" localSheetId="0">TBM_GP!$D$2:$E$156</definedName>
    <definedName name="ExternalData_1015" localSheetId="0">TBM_GP!#REF!</definedName>
    <definedName name="ExternalData_1016" localSheetId="0">TBM_GP!$D$2:$E$156</definedName>
    <definedName name="ExternalData_1017" localSheetId="0">TBM_GP!#REF!</definedName>
    <definedName name="ExternalData_1018" localSheetId="0">TBM_GP!$D$2:$E$156</definedName>
    <definedName name="ExternalData_1019" localSheetId="0">TBM_GP!#REF!</definedName>
    <definedName name="ExternalData_1020" localSheetId="0">TBM_GP!$D$2:$E$156</definedName>
    <definedName name="ExternalData_1021" localSheetId="0">TBM_GP!#REF!</definedName>
    <definedName name="ExternalData_1022" localSheetId="0">TBM_GP!$D$2:$E$156</definedName>
    <definedName name="ExternalData_1023" localSheetId="0">TBM_GP!#REF!</definedName>
    <definedName name="ExternalData_1024" localSheetId="0">TBM_GP!$D$2:$E$156</definedName>
    <definedName name="ExternalData_1025" localSheetId="0">TBM_GP!#REF!</definedName>
    <definedName name="ExternalData_1026" localSheetId="0">TBM_GP!$D$2:$E$156</definedName>
    <definedName name="ExternalData_1027" localSheetId="0">TBM_GP!#REF!</definedName>
    <definedName name="ExternalData_1028" localSheetId="0">TBM_GP!$D$2:$E$156</definedName>
    <definedName name="ExternalData_1029" localSheetId="0">TBM_GP!#REF!</definedName>
    <definedName name="ExternalData_103" localSheetId="0">TBM_GP!#REF!</definedName>
    <definedName name="ExternalData_1030" localSheetId="0">TBM_GP!$D$2:$E$156</definedName>
    <definedName name="ExternalData_1031" localSheetId="0">TBM_GP!#REF!</definedName>
    <definedName name="ExternalData_1032" localSheetId="0">TBM_GP!$D$2:$E$156</definedName>
    <definedName name="ExternalData_1033" localSheetId="0">TBM_GP!#REF!</definedName>
    <definedName name="ExternalData_1034" localSheetId="0">TBM_GP!$D$2:$E$156</definedName>
    <definedName name="ExternalData_1035" localSheetId="0">TBM_GP!#REF!</definedName>
    <definedName name="ExternalData_1036" localSheetId="0">TBM_GP!$D$2:$E$156</definedName>
    <definedName name="ExternalData_1037" localSheetId="0">TBM_GP!#REF!</definedName>
    <definedName name="ExternalData_1038" localSheetId="0">TBM_GP!$D$2:$E$156</definedName>
    <definedName name="ExternalData_1039" localSheetId="0">TBM_GP!#REF!</definedName>
    <definedName name="ExternalData_1040" localSheetId="0">TBM_GP!$D$2:$E$156</definedName>
    <definedName name="ExternalData_1041" localSheetId="0">TBM_GP!#REF!</definedName>
    <definedName name="ExternalData_1042" localSheetId="0">TBM_GP!$D$2:$E$156</definedName>
    <definedName name="ExternalData_1043" localSheetId="0">TBM_GP!#REF!</definedName>
    <definedName name="ExternalData_1044" localSheetId="0">TBM_GP!$D$2:$E$156</definedName>
    <definedName name="ExternalData_1045" localSheetId="0">TBM_GP!#REF!</definedName>
    <definedName name="ExternalData_1046" localSheetId="0">TBM_GP!$D$2:$E$156</definedName>
    <definedName name="ExternalData_1047" localSheetId="0">TBM_GP!#REF!</definedName>
    <definedName name="ExternalData_1048" localSheetId="0">TBM_GP!$D$2:$E$156</definedName>
    <definedName name="ExternalData_1049" localSheetId="0">TBM_GP!#REF!</definedName>
    <definedName name="ExternalData_105" localSheetId="0">TBM_GP!#REF!</definedName>
    <definedName name="ExternalData_1050" localSheetId="0">TBM_GP!$D$2:$E$156</definedName>
    <definedName name="ExternalData_1051" localSheetId="0">TBM_GP!#REF!</definedName>
    <definedName name="ExternalData_1052" localSheetId="0">TBM_GP!$D$2:$E$156</definedName>
    <definedName name="ExternalData_1053" localSheetId="0">TBM_GP!#REF!</definedName>
    <definedName name="ExternalData_1054" localSheetId="0">TBM_GP!$D$2:$E$156</definedName>
    <definedName name="ExternalData_1055" localSheetId="0">TBM_GP!#REF!</definedName>
    <definedName name="ExternalData_1056" localSheetId="0">TBM_GP!$D$2:$E$156</definedName>
    <definedName name="ExternalData_1057" localSheetId="0">TBM_GP!#REF!</definedName>
    <definedName name="ExternalData_1058" localSheetId="0">TBM_GP!$D$2:$E$156</definedName>
    <definedName name="ExternalData_1059" localSheetId="0">TBM_GP!#REF!</definedName>
    <definedName name="ExternalData_106" localSheetId="0">TBM_GP!#REF!</definedName>
    <definedName name="ExternalData_1060" localSheetId="0">TBM_GP!$D$2:$E$156</definedName>
    <definedName name="ExternalData_1061" localSheetId="0">TBM_GP!#REF!</definedName>
    <definedName name="ExternalData_1062" localSheetId="0">TBM_GP!$D$2:$E$156</definedName>
    <definedName name="ExternalData_1063" localSheetId="0">TBM_GP!#REF!</definedName>
    <definedName name="ExternalData_1064" localSheetId="0">TBM_GP!$D$2:$E$156</definedName>
    <definedName name="ExternalData_1065" localSheetId="0">TBM_GP!#REF!</definedName>
    <definedName name="ExternalData_1066" localSheetId="0">TBM_GP!$D$2:$E$156</definedName>
    <definedName name="ExternalData_1067" localSheetId="0">TBM_GP!#REF!</definedName>
    <definedName name="ExternalData_1068" localSheetId="0">TBM_GP!$D$2:$E$156</definedName>
    <definedName name="ExternalData_1069" localSheetId="0">TBM_GP!#REF!</definedName>
    <definedName name="ExternalData_107" localSheetId="0">TBM_GP!#REF!</definedName>
    <definedName name="ExternalData_1070" localSheetId="0">TBM_GP!$D$2:$E$156</definedName>
    <definedName name="ExternalData_1071" localSheetId="0">TBM_GP!#REF!</definedName>
    <definedName name="ExternalData_1072" localSheetId="0">TBM_GP!$D$2:$E$156</definedName>
    <definedName name="ExternalData_1073" localSheetId="0">TBM_GP!#REF!</definedName>
    <definedName name="ExternalData_1074" localSheetId="0">TBM_GP!$D$2:$E$156</definedName>
    <definedName name="ExternalData_1075" localSheetId="0">TBM_GP!#REF!</definedName>
    <definedName name="ExternalData_1076" localSheetId="0">TBM_GP!$D$2:$E$156</definedName>
    <definedName name="ExternalData_1077" localSheetId="0">TBM_GP!#REF!</definedName>
    <definedName name="ExternalData_1078" localSheetId="0">TBM_GP!$D$2:$E$156</definedName>
    <definedName name="ExternalData_1079" localSheetId="0">TBM_GP!#REF!</definedName>
    <definedName name="ExternalData_108" localSheetId="0">TBM_GP!#REF!</definedName>
    <definedName name="ExternalData_1080" localSheetId="0">TBM_GP!$D$2:$E$156</definedName>
    <definedName name="ExternalData_1081" localSheetId="0">TBM_GP!#REF!</definedName>
    <definedName name="ExternalData_1082" localSheetId="0">TBM_GP!$D$2:$E$156</definedName>
    <definedName name="ExternalData_1083" localSheetId="0">TBM_GP!#REF!</definedName>
    <definedName name="ExternalData_1084" localSheetId="0">TBM_GP!$D$2:$E$156</definedName>
    <definedName name="ExternalData_1085" localSheetId="0">TBM_GP!#REF!</definedName>
    <definedName name="ExternalData_1086" localSheetId="0">TBM_GP!$D$2:$E$156</definedName>
    <definedName name="ExternalData_1087" localSheetId="0">TBM_GP!#REF!</definedName>
    <definedName name="ExternalData_1088" localSheetId="0">TBM_GP!$D$2:$E$156</definedName>
    <definedName name="ExternalData_1089" localSheetId="0">TBM_GP!#REF!</definedName>
    <definedName name="ExternalData_109" localSheetId="0">TBM_GP!#REF!</definedName>
    <definedName name="ExternalData_1090" localSheetId="0">TBM_GP!$D$2:$E$156</definedName>
    <definedName name="ExternalData_1091" localSheetId="0">TBM_GP!#REF!</definedName>
    <definedName name="ExternalData_1092" localSheetId="0">TBM_GP!$D$2:$E$156</definedName>
    <definedName name="ExternalData_1093" localSheetId="0">TBM_GP!#REF!</definedName>
    <definedName name="ExternalData_1094" localSheetId="0">TBM_GP!$D$2:$E$156</definedName>
    <definedName name="ExternalData_1095" localSheetId="0">TBM_GP!#REF!</definedName>
    <definedName name="ExternalData_1096" localSheetId="0">TBM_GP!$D$2:$E$156</definedName>
    <definedName name="ExternalData_1097" localSheetId="0">TBM_GP!#REF!</definedName>
    <definedName name="ExternalData_1098" localSheetId="0">TBM_GP!$D$2:$E$156</definedName>
    <definedName name="ExternalData_1099" localSheetId="0">TBM_GP!#REF!</definedName>
    <definedName name="ExternalData_110" localSheetId="0">TBM_GP!#REF!</definedName>
    <definedName name="ExternalData_1100" localSheetId="0">TBM_GP!$D$2:$E$156</definedName>
    <definedName name="ExternalData_1101" localSheetId="0">TBM_GP!#REF!</definedName>
    <definedName name="ExternalData_1102" localSheetId="0">TBM_GP!$D$2:$E$156</definedName>
    <definedName name="ExternalData_1103" localSheetId="0">TBM_GP!#REF!</definedName>
    <definedName name="ExternalData_1104" localSheetId="0">TBM_GP!$D$2:$E$156</definedName>
    <definedName name="ExternalData_1105" localSheetId="0">TBM_GP!#REF!</definedName>
    <definedName name="ExternalData_1106" localSheetId="0">TBM_GP!$D$2:$E$156</definedName>
    <definedName name="ExternalData_1107" localSheetId="0">TBM_GP!#REF!</definedName>
    <definedName name="ExternalData_1108" localSheetId="0">TBM_GP!$D$2:$E$156</definedName>
    <definedName name="ExternalData_1109" localSheetId="0">TBM_GP!#REF!</definedName>
    <definedName name="ExternalData_111" localSheetId="0">TBM_GP!#REF!</definedName>
    <definedName name="ExternalData_1110" localSheetId="0">TBM_GP!$D$2:$E$156</definedName>
    <definedName name="ExternalData_1111" localSheetId="0">TBM_GP!#REF!</definedName>
    <definedName name="ExternalData_1112" localSheetId="0">TBM_GP!$D$2:$E$156</definedName>
    <definedName name="ExternalData_1113" localSheetId="0">TBM_GP!#REF!</definedName>
    <definedName name="ExternalData_1114" localSheetId="0">TBM_GP!$D$2:$E$156</definedName>
    <definedName name="ExternalData_1115" localSheetId="0">TBM_GP!#REF!</definedName>
    <definedName name="ExternalData_1116" localSheetId="0">TBM_GP!$D$2:$E$156</definedName>
    <definedName name="ExternalData_1117" localSheetId="0">TBM_GP!#REF!</definedName>
    <definedName name="ExternalData_1118" localSheetId="0">TBM_GP!$D$2:$E$156</definedName>
    <definedName name="ExternalData_1119" localSheetId="0">TBM_GP!#REF!</definedName>
    <definedName name="ExternalData_112" localSheetId="0">TBM_GP!#REF!</definedName>
    <definedName name="ExternalData_1120" localSheetId="0">TBM_GP!$D$2:$E$156</definedName>
    <definedName name="ExternalData_1121" localSheetId="0">TBM_GP!#REF!</definedName>
    <definedName name="ExternalData_1122" localSheetId="0">TBM_GP!$D$2:$E$156</definedName>
    <definedName name="ExternalData_1123" localSheetId="0">TBM_GP!#REF!</definedName>
    <definedName name="ExternalData_1124" localSheetId="0">TBM_GP!$D$2:$E$156</definedName>
    <definedName name="ExternalData_1125" localSheetId="0">TBM_GP!#REF!</definedName>
    <definedName name="ExternalData_1126" localSheetId="0">TBM_GP!$D$2:$E$156</definedName>
    <definedName name="ExternalData_1127" localSheetId="0">TBM_GP!#REF!</definedName>
    <definedName name="ExternalData_1128" localSheetId="0">TBM_GP!$D$2:$E$156</definedName>
    <definedName name="ExternalData_1129" localSheetId="0">TBM_GP!#REF!</definedName>
    <definedName name="ExternalData_113" localSheetId="0">TBM_GP!#REF!</definedName>
    <definedName name="ExternalData_1130" localSheetId="0">TBM_GP!$D$2:$E$156</definedName>
    <definedName name="ExternalData_1131" localSheetId="0">TBM_GP!#REF!</definedName>
    <definedName name="ExternalData_1132" localSheetId="0">TBM_GP!$D$2:$E$156</definedName>
    <definedName name="ExternalData_1133" localSheetId="0">TBM_GP!#REF!</definedName>
    <definedName name="ExternalData_1134" localSheetId="0">TBM_GP!$D$2:$E$156</definedName>
    <definedName name="ExternalData_1135" localSheetId="0">TBM_GP!#REF!</definedName>
    <definedName name="ExternalData_1136" localSheetId="0">TBM_GP!$D$2:$E$156</definedName>
    <definedName name="ExternalData_1137" localSheetId="0">TBM_GP!#REF!</definedName>
    <definedName name="ExternalData_1138" localSheetId="0">TBM_GP!$D$2:$E$156</definedName>
    <definedName name="ExternalData_1139" localSheetId="0">TBM_GP!#REF!</definedName>
    <definedName name="ExternalData_114" localSheetId="0">TBM_GP!#REF!</definedName>
    <definedName name="ExternalData_1140" localSheetId="0">TBM_GP!$D$2:$E$156</definedName>
    <definedName name="ExternalData_1141" localSheetId="0">TBM_GP!#REF!</definedName>
    <definedName name="ExternalData_1142" localSheetId="0">TBM_GP!$D$2:$E$156</definedName>
    <definedName name="ExternalData_1143" localSheetId="0">TBM_GP!#REF!</definedName>
    <definedName name="ExternalData_1144" localSheetId="0">TBM_GP!$D$2:$E$156</definedName>
    <definedName name="ExternalData_1145" localSheetId="0">TBM_GP!#REF!</definedName>
    <definedName name="ExternalData_1146" localSheetId="0">TBM_GP!$D$2:$E$156</definedName>
    <definedName name="ExternalData_1147" localSheetId="0">TBM_GP!#REF!</definedName>
    <definedName name="ExternalData_1148" localSheetId="0">TBM_GP!$D$2:$E$156</definedName>
    <definedName name="ExternalData_1149" localSheetId="0">TBM_GP!#REF!</definedName>
    <definedName name="ExternalData_115" localSheetId="0">TBM_GP!#REF!</definedName>
    <definedName name="ExternalData_1150" localSheetId="0">TBM_GP!$D$2:$E$156</definedName>
    <definedName name="ExternalData_1151" localSheetId="0">TBM_GP!#REF!</definedName>
    <definedName name="ExternalData_1152" localSheetId="0">TBM_GP!$D$2:$E$156</definedName>
    <definedName name="ExternalData_1153" localSheetId="0">TBM_GP!#REF!</definedName>
    <definedName name="ExternalData_1154" localSheetId="0">TBM_GP!$D$2:$E$156</definedName>
    <definedName name="ExternalData_1155" localSheetId="0">TBM_GP!#REF!</definedName>
    <definedName name="ExternalData_1156" localSheetId="0">TBM_GP!$D$2:$E$156</definedName>
    <definedName name="ExternalData_1157" localSheetId="0">TBM_GP!#REF!</definedName>
    <definedName name="ExternalData_1158" localSheetId="0">TBM_GP!$D$2:$E$156</definedName>
    <definedName name="ExternalData_1159" localSheetId="0">TBM_GP!#REF!</definedName>
    <definedName name="ExternalData_116" localSheetId="0">TBM_GP!#REF!</definedName>
    <definedName name="ExternalData_1160" localSheetId="0">TBM_GP!$D$2:$E$156</definedName>
    <definedName name="ExternalData_1161" localSheetId="0">TBM_GP!#REF!</definedName>
    <definedName name="ExternalData_1162" localSheetId="0">TBM_GP!$D$2:$E$156</definedName>
    <definedName name="ExternalData_1163" localSheetId="0">TBM_GP!#REF!</definedName>
    <definedName name="ExternalData_1164" localSheetId="0">TBM_GP!$D$2:$E$156</definedName>
    <definedName name="ExternalData_1165" localSheetId="0">TBM_GP!#REF!</definedName>
    <definedName name="ExternalData_1166" localSheetId="0">TBM_GP!$D$2:$E$156</definedName>
    <definedName name="ExternalData_1167" localSheetId="0">TBM_GP!#REF!</definedName>
    <definedName name="ExternalData_1168" localSheetId="0">TBM_GP!$D$2:$E$156</definedName>
    <definedName name="ExternalData_1169" localSheetId="0">TBM_GP!#REF!</definedName>
    <definedName name="ExternalData_117" localSheetId="0">TBM_GP!#REF!</definedName>
    <definedName name="ExternalData_1170" localSheetId="0">TBM_GP!$D$2:$E$156</definedName>
    <definedName name="ExternalData_1171" localSheetId="0">TBM_GP!#REF!</definedName>
    <definedName name="ExternalData_1172" localSheetId="0">TBM_GP!$D$2:$E$156</definedName>
    <definedName name="ExternalData_1173" localSheetId="0">TBM_GP!#REF!</definedName>
    <definedName name="ExternalData_1174" localSheetId="0">TBM_GP!$D$2:$E$156</definedName>
    <definedName name="ExternalData_1175" localSheetId="0">TBM_GP!$D$2:$E$156</definedName>
    <definedName name="ExternalData_1176" localSheetId="0">TBM_GP!$D$2:$E$156</definedName>
    <definedName name="ExternalData_1177" localSheetId="0">TBM_GP!$D$2:$E$156</definedName>
    <definedName name="ExternalData_1178" localSheetId="0">TBM_GP!$D$2:$E$156</definedName>
    <definedName name="ExternalData_1179" localSheetId="0">TBM_GP!$D$2:$E$156</definedName>
    <definedName name="ExternalData_118" localSheetId="0">TBM_GP!#REF!</definedName>
    <definedName name="ExternalData_1180" localSheetId="0">TBM_GP!$D$2:$E$156</definedName>
    <definedName name="ExternalData_1181" localSheetId="0">TBM_GP!$D$2:$E$156</definedName>
    <definedName name="ExternalData_1182" localSheetId="0">TBM_GP!$D$2:$E$156</definedName>
    <definedName name="ExternalData_1183" localSheetId="0">TBM_GP!$D$2:$E$156</definedName>
    <definedName name="ExternalData_1184" localSheetId="0">TBM_GP!$D$2:$E$156</definedName>
    <definedName name="ExternalData_1185" localSheetId="0">TBM_GP!$D$2:$E$156</definedName>
    <definedName name="ExternalData_1186" localSheetId="0">TBM_GP!$D$2:$E$156</definedName>
    <definedName name="ExternalData_1187" localSheetId="0">TBM_GP!$D$2:$E$156</definedName>
    <definedName name="ExternalData_1188" localSheetId="0">TBM_GP!$D$2:$E$156</definedName>
    <definedName name="ExternalData_1189" localSheetId="0">TBM_GP!$D$2:$E$156</definedName>
    <definedName name="ExternalData_119" localSheetId="0">TBM_GP!#REF!</definedName>
    <definedName name="ExternalData_1190" localSheetId="0">TBM_GP!$D$2:$E$156</definedName>
    <definedName name="ExternalData_1191" localSheetId="0">TBM_GP!$D$2:$E$156</definedName>
    <definedName name="ExternalData_1192" localSheetId="0">TBM_GP!$D$2:$E$156</definedName>
    <definedName name="ExternalData_1193" localSheetId="0">TBM_GP!$D$2:$E$156</definedName>
    <definedName name="ExternalData_1194" localSheetId="0">TBM_GP!$D$2:$E$156</definedName>
    <definedName name="ExternalData_1195" localSheetId="0">TBM_GP!$D$2:$E$156</definedName>
    <definedName name="ExternalData_1196" localSheetId="0">TBM_GP!$D$2:$E$156</definedName>
    <definedName name="ExternalData_1197" localSheetId="0">TBM_GP!$D$2:$E$156</definedName>
    <definedName name="ExternalData_1198" localSheetId="0">TBM_GP!$D$2:$E$156</definedName>
    <definedName name="ExternalData_1199" localSheetId="0">TBM_GP!$D$2:$E$156</definedName>
    <definedName name="ExternalData_120" localSheetId="0">TBM_GP!#REF!</definedName>
    <definedName name="ExternalData_1200" localSheetId="0">TBM_GP!$D$2:$E$156</definedName>
    <definedName name="ExternalData_1201" localSheetId="0">TBM_GP!$D$2:$E$156</definedName>
    <definedName name="ExternalData_1202" localSheetId="0">TBM_GP!$D$2:$E$156</definedName>
    <definedName name="ExternalData_1203" localSheetId="0">TBM_GP!$D$2:$E$156</definedName>
    <definedName name="ExternalData_1204" localSheetId="0">TBM_GP!$D$2:$E$156</definedName>
    <definedName name="ExternalData_1205" localSheetId="0">TBM_GP!$D$2:$E$156</definedName>
    <definedName name="ExternalData_1206" localSheetId="0">TBM_GP!$D$2:$E$156</definedName>
    <definedName name="ExternalData_1207" localSheetId="0">TBM_GP!$D$2:$E$156</definedName>
    <definedName name="ExternalData_1208" localSheetId="0">TBM_GP!$D$2:$E$156</definedName>
    <definedName name="ExternalData_1209" localSheetId="0">TBM_GP!$D$2:$E$156</definedName>
    <definedName name="ExternalData_121" localSheetId="0">TBM_GP!#REF!</definedName>
    <definedName name="ExternalData_1210" localSheetId="0">TBM_GP!$D$2:$E$156</definedName>
    <definedName name="ExternalData_1211" localSheetId="0">TBM_GP!$D$2:$E$156</definedName>
    <definedName name="ExternalData_1212" localSheetId="0">TBM_GP!$D$2:$E$156</definedName>
    <definedName name="ExternalData_1213" localSheetId="0">TBM_GP!$D$2:$E$156</definedName>
    <definedName name="ExternalData_1214" localSheetId="0">TBM_GP!$D$2:$E$156</definedName>
    <definedName name="ExternalData_1215" localSheetId="0">TBM_GP!$D$2:$E$156</definedName>
    <definedName name="ExternalData_1216" localSheetId="0">TBM_GP!$D$2:$E$156</definedName>
    <definedName name="ExternalData_1217" localSheetId="0">TBM_GP!$D$2:$E$156</definedName>
    <definedName name="ExternalData_1218" localSheetId="0">TBM_GP!$D$2:$E$156</definedName>
    <definedName name="ExternalData_1219" localSheetId="0">TBM_GP!$D$2:$E$156</definedName>
    <definedName name="ExternalData_122" localSheetId="0">TBM_GP!#REF!</definedName>
    <definedName name="ExternalData_1220" localSheetId="0">TBM_GP!$D$2:$E$156</definedName>
    <definedName name="ExternalData_1221" localSheetId="0">TBM_GP!$D$2:$E$156</definedName>
    <definedName name="ExternalData_1222" localSheetId="0">TBM_GP!$D$2:$E$156</definedName>
    <definedName name="ExternalData_1223" localSheetId="0">TBM_GP!$D$2:$E$156</definedName>
    <definedName name="ExternalData_1224" localSheetId="0">TBM_GP!$D$2:$E$156</definedName>
    <definedName name="ExternalData_1225" localSheetId="0">TBM_GP!$D$2:$E$156</definedName>
    <definedName name="ExternalData_1226" localSheetId="0">TBM_GP!$D$2:$E$156</definedName>
    <definedName name="ExternalData_1227" localSheetId="0">TBM_GP!$D$2:$E$156</definedName>
    <definedName name="ExternalData_1228" localSheetId="0">TBM_GP!$D$2:$E$156</definedName>
    <definedName name="ExternalData_1229" localSheetId="0">TBM_GP!$D$2:$E$156</definedName>
    <definedName name="ExternalData_123" localSheetId="0">TBM_GP!#REF!</definedName>
    <definedName name="ExternalData_1230" localSheetId="0">TBM_GP!$D$2:$E$156</definedName>
    <definedName name="ExternalData_1231" localSheetId="0">TBM_GP!$D$2:$E$156</definedName>
    <definedName name="ExternalData_1232" localSheetId="0">TBM_GP!$D$2:$E$156</definedName>
    <definedName name="ExternalData_1233" localSheetId="0">TBM_GP!$D$2:$E$156</definedName>
    <definedName name="ExternalData_1234" localSheetId="0">TBM_GP!$D$2:$E$156</definedName>
    <definedName name="ExternalData_1235" localSheetId="0">TBM_GP!$D$2:$E$156</definedName>
    <definedName name="ExternalData_1236" localSheetId="0">TBM_GP!$D$2:$E$156</definedName>
    <definedName name="ExternalData_1237" localSheetId="0">TBM_GP!$D$2:$E$156</definedName>
    <definedName name="ExternalData_1238" localSheetId="0">TBM_GP!$D$2:$E$156</definedName>
    <definedName name="ExternalData_1239" localSheetId="0">TBM_GP!$D$2:$E$156</definedName>
    <definedName name="ExternalData_124" localSheetId="0">TBM_GP!#REF!</definedName>
    <definedName name="ExternalData_1240" localSheetId="0">TBM_GP!$D$2:$E$156</definedName>
    <definedName name="ExternalData_1241" localSheetId="0">TBM_GP!$D$2:$E$156</definedName>
    <definedName name="ExternalData_1242" localSheetId="0">TBM_GP!$D$2:$E$156</definedName>
    <definedName name="ExternalData_1243" localSheetId="0">TBM_GP!$D$2:$E$156</definedName>
    <definedName name="ExternalData_1244" localSheetId="0">TBM_GP!$D$2:$E$156</definedName>
    <definedName name="ExternalData_1245" localSheetId="0">TBM_GP!$D$2:$E$156</definedName>
    <definedName name="ExternalData_1246" localSheetId="0">TBM_GP!$D$2:$E$156</definedName>
    <definedName name="ExternalData_1247" localSheetId="0">TBM_GP!$D$2:$E$156</definedName>
    <definedName name="ExternalData_1248" localSheetId="0">TBM_GP!$D$2:$E$156</definedName>
    <definedName name="ExternalData_1249" localSheetId="0">TBM_GP!$D$2:$E$156</definedName>
    <definedName name="ExternalData_125" localSheetId="0">TBM_GP!#REF!</definedName>
    <definedName name="ExternalData_1250" localSheetId="0">TBM_GP!$D$2:$E$156</definedName>
    <definedName name="ExternalData_1251" localSheetId="0">TBM_GP!$D$2:$E$156</definedName>
    <definedName name="ExternalData_1252" localSheetId="0">TBM_GP!$D$2:$E$156</definedName>
    <definedName name="ExternalData_1253" localSheetId="0">TBM_GP!$D$2:$E$156</definedName>
    <definedName name="ExternalData_1254" localSheetId="0">TBM_GP!$D$2:$E$156</definedName>
    <definedName name="ExternalData_1255" localSheetId="0">TBM_GP!$D$2:$E$156</definedName>
    <definedName name="ExternalData_1256" localSheetId="0">TBM_GP!$D$2:$E$156</definedName>
    <definedName name="ExternalData_1257" localSheetId="0">TBM_GP!$D$2:$E$156</definedName>
    <definedName name="ExternalData_1258" localSheetId="0">TBM_GP!$D$2:$E$156</definedName>
    <definedName name="ExternalData_1259" localSheetId="0">TBM_GP!$D$2:$E$156</definedName>
    <definedName name="ExternalData_126" localSheetId="0">TBM_GP!#REF!</definedName>
    <definedName name="ExternalData_1260" localSheetId="0">TBM_GP!$D$2:$E$156</definedName>
    <definedName name="ExternalData_1261" localSheetId="0">TBM_GP!$D$2:$E$156</definedName>
    <definedName name="ExternalData_1262" localSheetId="0">TBM_GP!$D$2:$E$156</definedName>
    <definedName name="ExternalData_1263" localSheetId="0">TBM_GP!$D$2:$E$156</definedName>
    <definedName name="ExternalData_1264" localSheetId="0">TBM_GP!$D$2:$E$156</definedName>
    <definedName name="ExternalData_1265" localSheetId="0">TBM_GP!$D$2:$E$156</definedName>
    <definedName name="ExternalData_1266" localSheetId="0">TBM_GP!$D$2:$E$156</definedName>
    <definedName name="ExternalData_1267" localSheetId="0">TBM_GP!$D$2:$E$156</definedName>
    <definedName name="ExternalData_1268" localSheetId="0">TBM_GP!$D$2:$E$156</definedName>
    <definedName name="ExternalData_1269" localSheetId="0">TBM_GP!$D$2:$E$156</definedName>
    <definedName name="ExternalData_127" localSheetId="0">TBM_GP!#REF!</definedName>
    <definedName name="ExternalData_1270" localSheetId="0">TBM_GP!$D$2:$E$156</definedName>
    <definedName name="ExternalData_1271" localSheetId="0">TBM_GP!$D$2:$E$156</definedName>
    <definedName name="ExternalData_1272" localSheetId="0">TBM_GP!$D$2:$E$156</definedName>
    <definedName name="ExternalData_1273" localSheetId="0">TBM_GP!$D$2:$E$156</definedName>
    <definedName name="ExternalData_1274" localSheetId="0">TBM_GP!$D$2:$E$156</definedName>
    <definedName name="ExternalData_1275" localSheetId="0">TBM_GP!$D$2:$E$156</definedName>
    <definedName name="ExternalData_1276" localSheetId="0">TBM_GP!$D$2:$E$156</definedName>
    <definedName name="ExternalData_1277" localSheetId="0">TBM_GP!$D$2:$E$156</definedName>
    <definedName name="ExternalData_1278" localSheetId="0">TBM_GP!$D$2:$E$156</definedName>
    <definedName name="ExternalData_1279" localSheetId="0">TBM_GP!$D$2:$E$156</definedName>
    <definedName name="ExternalData_128" localSheetId="0">TBM_GP!#REF!</definedName>
    <definedName name="ExternalData_1280" localSheetId="0">TBM_GP!$D$2:$E$156</definedName>
    <definedName name="ExternalData_1281" localSheetId="0">TBM_GP!$D$2:$E$156</definedName>
    <definedName name="ExternalData_1282" localSheetId="0">TBM_GP!$D$2:$E$156</definedName>
    <definedName name="ExternalData_1283" localSheetId="0">TBM_GP!$D$2:$E$156</definedName>
    <definedName name="ExternalData_1284" localSheetId="0">TBM_GP!$D$2:$E$156</definedName>
    <definedName name="ExternalData_1285" localSheetId="0">TBM_GP!$D$2:$E$156</definedName>
    <definedName name="ExternalData_1286" localSheetId="0">TBM_GP!$D$2:$E$156</definedName>
    <definedName name="ExternalData_1287" localSheetId="0">TBM_GP!$D$2:$E$156</definedName>
    <definedName name="ExternalData_1288" localSheetId="0">TBM_GP!$D$2:$E$156</definedName>
    <definedName name="ExternalData_1289" localSheetId="0">TBM_GP!$D$2:$E$156</definedName>
    <definedName name="ExternalData_129" localSheetId="0">TBM_GP!#REF!</definedName>
    <definedName name="ExternalData_1290" localSheetId="0">TBM_GP!$D$2:$E$156</definedName>
    <definedName name="ExternalData_1291" localSheetId="0">TBM_GP!$D$2:$E$156</definedName>
    <definedName name="ExternalData_1292" localSheetId="0">TBM_GP!$D$2:$E$156</definedName>
    <definedName name="ExternalData_1293" localSheetId="0">TBM_GP!$D$2:$E$156</definedName>
    <definedName name="ExternalData_1294" localSheetId="0">TBM_GP!$D$2:$E$156</definedName>
    <definedName name="ExternalData_1295" localSheetId="0">TBM_GP!$D$2:$E$156</definedName>
    <definedName name="ExternalData_1296" localSheetId="0">TBM_GP!$D$2:$E$156</definedName>
    <definedName name="ExternalData_1297" localSheetId="0">TBM_GP!$D$2:$E$156</definedName>
    <definedName name="ExternalData_1298" localSheetId="0">TBM_GP!$D$2:$E$156</definedName>
    <definedName name="ExternalData_1299" localSheetId="0">TBM_GP!$D$2:$E$156</definedName>
    <definedName name="ExternalData_130" localSheetId="0">TBM_GP!#REF!</definedName>
    <definedName name="ExternalData_1300" localSheetId="0">TBM_GP!$D$2:$E$156</definedName>
    <definedName name="ExternalData_1301" localSheetId="0">TBM_GP!$D$2:$E$156</definedName>
    <definedName name="ExternalData_1302" localSheetId="0">TBM_GP!$D$2:$E$156</definedName>
    <definedName name="ExternalData_1303" localSheetId="0">TBM_GP!$D$2:$E$156</definedName>
    <definedName name="ExternalData_1304" localSheetId="0">TBM_GP!$D$2:$E$156</definedName>
    <definedName name="ExternalData_1305" localSheetId="0">TBM_GP!$D$2:$E$156</definedName>
    <definedName name="ExternalData_1306" localSheetId="0">TBM_GP!$D$2:$E$156</definedName>
    <definedName name="ExternalData_1307" localSheetId="0">TBM_GP!$D$2:$E$156</definedName>
    <definedName name="ExternalData_1308" localSheetId="0">TBM_GP!$D$2:$E$156</definedName>
    <definedName name="ExternalData_1309" localSheetId="0">TBM_GP!$D$2:$E$156</definedName>
    <definedName name="ExternalData_131" localSheetId="0">TBM_GP!#REF!</definedName>
    <definedName name="ExternalData_1310" localSheetId="0">TBM_GP!$D$2:$E$156</definedName>
    <definedName name="ExternalData_1311" localSheetId="0">TBM_GP!$D$2:$E$156</definedName>
    <definedName name="ExternalData_1312" localSheetId="0">TBM_GP!$D$2:$E$156</definedName>
    <definedName name="ExternalData_1313" localSheetId="0">TBM_GP!$D$2:$E$156</definedName>
    <definedName name="ExternalData_1314" localSheetId="0">TBM_GP!$D$2:$E$156</definedName>
    <definedName name="ExternalData_1315" localSheetId="0">TBM_GP!$D$2:$E$156</definedName>
    <definedName name="ExternalData_1316" localSheetId="0">TBM_GP!$D$2:$E$156</definedName>
    <definedName name="ExternalData_1317" localSheetId="0">TBM_GP!$D$2:$E$156</definedName>
    <definedName name="ExternalData_1318" localSheetId="0">TBM_GP!$D$2:$E$156</definedName>
    <definedName name="ExternalData_1319" localSheetId="0">TBM_GP!$D$2:$E$156</definedName>
    <definedName name="ExternalData_1320" localSheetId="0">TBM_GP!$D$2:$E$156</definedName>
    <definedName name="ExternalData_1321" localSheetId="0">TBM_GP!$D$2:$E$156</definedName>
    <definedName name="ExternalData_1322" localSheetId="0">TBM_GP!$D$2:$E$156</definedName>
    <definedName name="ExternalData_1323" localSheetId="0">TBM_GP!$D$2:$E$156</definedName>
    <definedName name="ExternalData_1324" localSheetId="0">TBM_GP!$D$2:$E$156</definedName>
    <definedName name="ExternalData_1325" localSheetId="0">TBM_GP!$D$2:$E$156</definedName>
    <definedName name="ExternalData_1326" localSheetId="0">TBM_GP!$D$2:$E$156</definedName>
    <definedName name="ExternalData_1327" localSheetId="0">TBM_GP!$D$2:$E$156</definedName>
    <definedName name="ExternalData_1328" localSheetId="0">TBM_GP!$D$2:$E$156</definedName>
    <definedName name="ExternalData_1329" localSheetId="0">TBM_GP!$D$2:$E$156</definedName>
    <definedName name="ExternalData_133" localSheetId="0">TBM_GP!#REF!</definedName>
    <definedName name="ExternalData_1330" localSheetId="0">TBM_GP!$D$2:$E$156</definedName>
    <definedName name="ExternalData_1331" localSheetId="0">TBM_GP!$D$2:$E$156</definedName>
    <definedName name="ExternalData_1332" localSheetId="0">TBM_GP!$D$2:$E$156</definedName>
    <definedName name="ExternalData_1333" localSheetId="0">TBM_GP!$D$2:$E$156</definedName>
    <definedName name="ExternalData_1334" localSheetId="0">TBM_GP!$D$2:$E$156</definedName>
    <definedName name="ExternalData_1335" localSheetId="0">TBM_GP!$D$2:$E$156</definedName>
    <definedName name="ExternalData_1336" localSheetId="0">TBM_GP!$D$2:$E$156</definedName>
    <definedName name="ExternalData_1337" localSheetId="0">TBM_GP!$D$2:$E$154</definedName>
    <definedName name="ExternalData_1338" localSheetId="0">TBM_GP!$D$2:$E$154</definedName>
    <definedName name="ExternalData_1339" localSheetId="0">TBM_GP!$D$2:$E$154</definedName>
    <definedName name="ExternalData_134" localSheetId="0">TBM_GP!#REF!</definedName>
    <definedName name="ExternalData_1340" localSheetId="0">TBM_GP!$D$2:$E$154</definedName>
    <definedName name="ExternalData_1341" localSheetId="0">TBM_GP!$D$2:$E$154</definedName>
    <definedName name="ExternalData_1342" localSheetId="0">TBM_GP!$D$2:$E$154</definedName>
    <definedName name="ExternalData_1343" localSheetId="0">TBM_GP!$D$2:$E$154</definedName>
    <definedName name="ExternalData_1344" localSheetId="0">TBM_GP!$D$2:$E$154</definedName>
    <definedName name="ExternalData_1345" localSheetId="0">TBM_GP!$D$2:$E$154</definedName>
    <definedName name="ExternalData_1346" localSheetId="0">TBM_GP!$D$2:$E$154</definedName>
    <definedName name="ExternalData_1347" localSheetId="0">TBM_GP!$D$2:$E$154</definedName>
    <definedName name="ExternalData_1348" localSheetId="0">TBM_GP!$D$2:$E$154</definedName>
    <definedName name="ExternalData_1349" localSheetId="0">TBM_GP!$D$2:$E$154</definedName>
    <definedName name="ExternalData_135" localSheetId="0">TBM_GP!#REF!</definedName>
    <definedName name="ExternalData_1350" localSheetId="0">TBM_GP!$D$2:$E$154</definedName>
    <definedName name="ExternalData_1351" localSheetId="0">TBM_GP!$D$2:$E$154</definedName>
    <definedName name="ExternalData_1352" localSheetId="0">TBM_GP!$D$2:$E$154</definedName>
    <definedName name="ExternalData_1353" localSheetId="0">TBM_GP!$D$2:$E$154</definedName>
    <definedName name="ExternalData_1354" localSheetId="0">TBM_GP!$D$2:$E$138</definedName>
    <definedName name="ExternalData_1355" localSheetId="0">TBM_GP!$D$2:$E$154</definedName>
    <definedName name="ExternalData_1356" localSheetId="0">TBM_GP!$D$2:$E$154</definedName>
    <definedName name="ExternalData_136" localSheetId="0">TBM_GP!#REF!</definedName>
    <definedName name="ExternalData_137" localSheetId="0">TBM_GP!#REF!</definedName>
    <definedName name="ExternalData_138" localSheetId="0">TBM_GP!#REF!</definedName>
    <definedName name="ExternalData_139" localSheetId="0">TBM_GP!#REF!</definedName>
    <definedName name="ExternalData_140" localSheetId="0">TBM_GP!#REF!</definedName>
    <definedName name="ExternalData_141" localSheetId="0">TBM_GP!#REF!</definedName>
    <definedName name="ExternalData_142" localSheetId="0">TBM_GP!#REF!</definedName>
    <definedName name="ExternalData_143" localSheetId="0">TBM_GP!#REF!</definedName>
    <definedName name="ExternalData_144" localSheetId="0">TBM_GP!#REF!</definedName>
    <definedName name="ExternalData_145" localSheetId="0">TBM_GP!#REF!</definedName>
    <definedName name="ExternalData_146" localSheetId="0">TBM_GP!#REF!</definedName>
    <definedName name="ExternalData_147" localSheetId="0">TBM_GP!#REF!</definedName>
    <definedName name="ExternalData_148" localSheetId="0">TBM_GP!#REF!</definedName>
    <definedName name="ExternalData_149" localSheetId="0">TBM_GP!#REF!</definedName>
    <definedName name="ExternalData_150" localSheetId="0">TBM_GP!#REF!</definedName>
    <definedName name="ExternalData_151" localSheetId="0">TBM_GP!#REF!</definedName>
    <definedName name="ExternalData_152" localSheetId="0">TBM_GP!#REF!</definedName>
    <definedName name="ExternalData_153" localSheetId="0">TBM_GP!#REF!</definedName>
    <definedName name="ExternalData_154" localSheetId="0">TBM_GP!#REF!</definedName>
    <definedName name="ExternalData_155" localSheetId="0">TBM_GP!#REF!</definedName>
    <definedName name="ExternalData_156" localSheetId="0">TBM_GP!#REF!</definedName>
    <definedName name="ExternalData_157" localSheetId="0">TBM_GP!#REF!</definedName>
    <definedName name="ExternalData_158" localSheetId="0">TBM_GP!#REF!</definedName>
    <definedName name="ExternalData_159" localSheetId="0">TBM_GP!#REF!</definedName>
    <definedName name="ExternalData_160" localSheetId="0">TBM_GP!#REF!</definedName>
    <definedName name="ExternalData_161" localSheetId="0">TBM_GP!#REF!</definedName>
    <definedName name="ExternalData_162" localSheetId="0">TBM_GP!#REF!</definedName>
    <definedName name="ExternalData_163" localSheetId="0">TBM_GP!#REF!</definedName>
    <definedName name="ExternalData_164" localSheetId="0">TBM_GP!#REF!</definedName>
    <definedName name="ExternalData_165" localSheetId="0">TBM_GP!#REF!</definedName>
    <definedName name="ExternalData_166" localSheetId="0">TBM_GP!#REF!</definedName>
    <definedName name="ExternalData_167" localSheetId="0">TBM_GP!#REF!</definedName>
    <definedName name="ExternalData_168" localSheetId="0">TBM_GP!#REF!</definedName>
    <definedName name="ExternalData_169" localSheetId="0">TBM_GP!#REF!</definedName>
    <definedName name="ExternalData_170" localSheetId="0">TBM_GP!#REF!</definedName>
    <definedName name="ExternalData_171" localSheetId="0">TBM_GP!#REF!</definedName>
    <definedName name="ExternalData_172" localSheetId="0">TBM_GP!#REF!</definedName>
    <definedName name="ExternalData_173" localSheetId="0">TBM_GP!#REF!</definedName>
    <definedName name="ExternalData_174" localSheetId="0">TBM_GP!#REF!</definedName>
    <definedName name="ExternalData_175" localSheetId="0">TBM_GP!#REF!</definedName>
    <definedName name="ExternalData_176" localSheetId="0">TBM_GP!#REF!</definedName>
    <definedName name="ExternalData_177" localSheetId="0">TBM_GP!#REF!</definedName>
    <definedName name="ExternalData_178" localSheetId="0">TBM_GP!#REF!</definedName>
    <definedName name="ExternalData_179" localSheetId="0">TBM_GP!#REF!</definedName>
    <definedName name="ExternalData_180" localSheetId="0">TBM_GP!#REF!</definedName>
    <definedName name="ExternalData_181" localSheetId="0">TBM_GP!#REF!</definedName>
    <definedName name="ExternalData_182" localSheetId="0">TBM_GP!#REF!</definedName>
    <definedName name="ExternalData_184" localSheetId="0">TBM_GP!#REF!</definedName>
    <definedName name="ExternalData_185" localSheetId="0">TBM_GP!#REF!</definedName>
    <definedName name="ExternalData_186" localSheetId="0">TBM_GP!#REF!</definedName>
    <definedName name="ExternalData_188" localSheetId="0">TBM_GP!#REF!</definedName>
    <definedName name="ExternalData_189" localSheetId="0">TBM_GP!#REF!</definedName>
    <definedName name="ExternalData_191" localSheetId="0">TBM_GP!#REF!</definedName>
    <definedName name="ExternalData_192" localSheetId="0">TBM_GP!#REF!</definedName>
    <definedName name="ExternalData_193" localSheetId="0">TBM_GP!#REF!</definedName>
    <definedName name="ExternalData_194" localSheetId="0">TBM_GP!#REF!</definedName>
    <definedName name="ExternalData_195" localSheetId="0">TBM_GP!#REF!</definedName>
    <definedName name="ExternalData_196" localSheetId="0">TBM_GP!#REF!</definedName>
    <definedName name="ExternalData_197" localSheetId="0">TBM_GP!#REF!</definedName>
    <definedName name="ExternalData_198" localSheetId="0">TBM_GP!#REF!</definedName>
    <definedName name="ExternalData_199" localSheetId="0">TBM_GP!#REF!</definedName>
    <definedName name="ExternalData_20" localSheetId="0">TBM_GP!#REF!</definedName>
    <definedName name="ExternalData_200" localSheetId="0">TBM_GP!#REF!</definedName>
    <definedName name="ExternalData_201" localSheetId="0">TBM_GP!#REF!</definedName>
    <definedName name="ExternalData_202" localSheetId="0">TBM_GP!#REF!</definedName>
    <definedName name="ExternalData_203" localSheetId="0">TBM_GP!#REF!</definedName>
    <definedName name="ExternalData_204" localSheetId="0">TBM_GP!#REF!</definedName>
    <definedName name="ExternalData_205" localSheetId="0">TBM_GP!#REF!</definedName>
    <definedName name="ExternalData_206" localSheetId="0">TBM_GP!#REF!</definedName>
    <definedName name="ExternalData_207" localSheetId="0">TBM_GP!#REF!</definedName>
    <definedName name="ExternalData_208" localSheetId="0">TBM_GP!#REF!</definedName>
    <definedName name="ExternalData_209" localSheetId="0">TBM_GP!#REF!</definedName>
    <definedName name="ExternalData_21" localSheetId="0">TBM_GP!#REF!</definedName>
    <definedName name="ExternalData_210" localSheetId="0">TBM_GP!#REF!</definedName>
    <definedName name="ExternalData_211" localSheetId="0">TBM_GP!#REF!</definedName>
    <definedName name="ExternalData_212" localSheetId="0">TBM_GP!#REF!</definedName>
    <definedName name="ExternalData_213" localSheetId="0">TBM_GP!#REF!</definedName>
    <definedName name="ExternalData_214" localSheetId="0">TBM_GP!#REF!</definedName>
    <definedName name="ExternalData_215" localSheetId="0">TBM_GP!#REF!</definedName>
    <definedName name="ExternalData_216" localSheetId="0">TBM_GP!#REF!</definedName>
    <definedName name="ExternalData_217" localSheetId="0">TBM_GP!#REF!</definedName>
    <definedName name="ExternalData_218" localSheetId="0">TBM_GP!#REF!</definedName>
    <definedName name="ExternalData_219" localSheetId="0">TBM_GP!#REF!</definedName>
    <definedName name="ExternalData_22" localSheetId="0">TBM_GP!#REF!</definedName>
    <definedName name="ExternalData_220" localSheetId="0">TBM_GP!#REF!</definedName>
    <definedName name="ExternalData_221" localSheetId="0">TBM_GP!#REF!</definedName>
    <definedName name="ExternalData_222" localSheetId="0">TBM_GP!#REF!</definedName>
    <definedName name="ExternalData_223" localSheetId="0">TBM_GP!#REF!</definedName>
    <definedName name="ExternalData_224" localSheetId="0">TBM_GP!#REF!</definedName>
    <definedName name="ExternalData_225" localSheetId="0">TBM_GP!#REF!</definedName>
    <definedName name="ExternalData_226" localSheetId="0">TBM_GP!#REF!</definedName>
    <definedName name="ExternalData_227" localSheetId="0">TBM_GP!#REF!</definedName>
    <definedName name="ExternalData_228" localSheetId="0">TBM_GP!#REF!</definedName>
    <definedName name="ExternalData_229" localSheetId="0">TBM_GP!#REF!</definedName>
    <definedName name="ExternalData_23" localSheetId="0">TBM_GP!#REF!</definedName>
    <definedName name="ExternalData_230" localSheetId="0">TBM_GP!#REF!</definedName>
    <definedName name="ExternalData_231" localSheetId="0">TBM_GP!#REF!</definedName>
    <definedName name="ExternalData_232" localSheetId="0">TBM_GP!#REF!</definedName>
    <definedName name="ExternalData_233" localSheetId="0">TBM_GP!#REF!</definedName>
    <definedName name="ExternalData_234" localSheetId="0">TBM_GP!#REF!</definedName>
    <definedName name="ExternalData_235" localSheetId="0">TBM_GP!#REF!</definedName>
    <definedName name="ExternalData_236" localSheetId="0">TBM_GP!#REF!</definedName>
    <definedName name="ExternalData_237" localSheetId="0">TBM_GP!#REF!</definedName>
    <definedName name="ExternalData_238" localSheetId="0">TBM_GP!#REF!</definedName>
    <definedName name="ExternalData_239" localSheetId="0">TBM_GP!#REF!</definedName>
    <definedName name="ExternalData_24" localSheetId="0">TBM_GP!#REF!</definedName>
    <definedName name="ExternalData_240" localSheetId="0">TBM_GP!#REF!</definedName>
    <definedName name="ExternalData_241" localSheetId="0">TBM_GP!#REF!</definedName>
    <definedName name="ExternalData_242" localSheetId="0">TBM_GP!#REF!</definedName>
    <definedName name="ExternalData_243" localSheetId="0">TBM_GP!#REF!</definedName>
    <definedName name="ExternalData_244" localSheetId="0">TBM_GP!#REF!</definedName>
    <definedName name="ExternalData_245" localSheetId="0">TBM_GP!#REF!</definedName>
    <definedName name="ExternalData_246" localSheetId="0">TBM_GP!#REF!</definedName>
    <definedName name="ExternalData_247" localSheetId="0">TBM_GP!#REF!</definedName>
    <definedName name="ExternalData_248" localSheetId="0">TBM_GP!#REF!</definedName>
    <definedName name="ExternalData_249" localSheetId="0">TBM_GP!#REF!</definedName>
    <definedName name="ExternalData_25" localSheetId="0">TBM_GP!#REF!</definedName>
    <definedName name="ExternalData_250" localSheetId="0">TBM_GP!#REF!</definedName>
    <definedName name="ExternalData_251" localSheetId="0">TBM_GP!#REF!</definedName>
    <definedName name="ExternalData_252" localSheetId="0">TBM_GP!#REF!</definedName>
    <definedName name="ExternalData_253" localSheetId="0">TBM_GP!#REF!</definedName>
    <definedName name="ExternalData_254" localSheetId="0">TBM_GP!#REF!</definedName>
    <definedName name="ExternalData_255" localSheetId="0">TBM_GP!#REF!</definedName>
    <definedName name="ExternalData_256" localSheetId="0">TBM_GP!#REF!</definedName>
    <definedName name="ExternalData_257" localSheetId="0">TBM_GP!#REF!</definedName>
    <definedName name="ExternalData_258" localSheetId="0">TBM_GP!#REF!</definedName>
    <definedName name="ExternalData_259" localSheetId="0">TBM_GP!#REF!</definedName>
    <definedName name="ExternalData_26" localSheetId="0">TBM_GP!#REF!</definedName>
    <definedName name="ExternalData_260" localSheetId="0">TBM_GP!#REF!</definedName>
    <definedName name="ExternalData_261" localSheetId="0">TBM_GP!#REF!</definedName>
    <definedName name="ExternalData_262" localSheetId="0">TBM_GP!#REF!</definedName>
    <definedName name="ExternalData_263" localSheetId="0">TBM_GP!#REF!</definedName>
    <definedName name="ExternalData_264" localSheetId="0">TBM_GP!#REF!</definedName>
    <definedName name="ExternalData_265" localSheetId="0">TBM_GP!#REF!</definedName>
    <definedName name="ExternalData_266" localSheetId="0">TBM_GP!#REF!</definedName>
    <definedName name="ExternalData_267" localSheetId="0">TBM_GP!#REF!</definedName>
    <definedName name="ExternalData_268" localSheetId="0">TBM_GP!#REF!</definedName>
    <definedName name="ExternalData_269" localSheetId="0">TBM_GP!#REF!</definedName>
    <definedName name="ExternalData_27" localSheetId="0">TBM_GP!#REF!</definedName>
    <definedName name="ExternalData_270" localSheetId="0">TBM_GP!#REF!</definedName>
    <definedName name="ExternalData_271" localSheetId="0">TBM_GP!#REF!</definedName>
    <definedName name="ExternalData_272" localSheetId="0">TBM_GP!#REF!</definedName>
    <definedName name="ExternalData_273" localSheetId="0">TBM_GP!#REF!</definedName>
    <definedName name="ExternalData_274" localSheetId="0">TBM_GP!#REF!</definedName>
    <definedName name="ExternalData_275" localSheetId="0">TBM_GP!#REF!</definedName>
    <definedName name="ExternalData_276" localSheetId="0">TBM_GP!#REF!</definedName>
    <definedName name="ExternalData_277" localSheetId="0">TBM_GP!#REF!</definedName>
    <definedName name="ExternalData_278" localSheetId="0">TBM_GP!#REF!</definedName>
    <definedName name="ExternalData_279" localSheetId="0">TBM_GP!#REF!</definedName>
    <definedName name="ExternalData_28" localSheetId="0">TBM_GP!#REF!</definedName>
    <definedName name="ExternalData_280" localSheetId="0">TBM_GP!#REF!</definedName>
    <definedName name="ExternalData_281" localSheetId="0">TBM_GP!#REF!</definedName>
    <definedName name="ExternalData_282" localSheetId="0">TBM_GP!#REF!</definedName>
    <definedName name="ExternalData_283" localSheetId="0">TBM_GP!#REF!</definedName>
    <definedName name="ExternalData_284" localSheetId="0">TBM_GP!#REF!</definedName>
    <definedName name="ExternalData_285" localSheetId="0">TBM_GP!#REF!</definedName>
    <definedName name="ExternalData_286" localSheetId="0">TBM_GP!#REF!</definedName>
    <definedName name="ExternalData_287" localSheetId="0">TBM_GP!#REF!</definedName>
    <definedName name="ExternalData_288" localSheetId="0">TBM_GP!#REF!</definedName>
    <definedName name="ExternalData_289" localSheetId="0">TBM_GP!#REF!</definedName>
    <definedName name="ExternalData_29" localSheetId="0">TBM_GP!#REF!</definedName>
    <definedName name="ExternalData_290" localSheetId="0">TBM_GP!#REF!</definedName>
    <definedName name="ExternalData_291" localSheetId="0">TBM_GP!#REF!</definedName>
    <definedName name="ExternalData_292" localSheetId="0">TBM_GP!#REF!</definedName>
    <definedName name="ExternalData_293" localSheetId="0">TBM_GP!#REF!</definedName>
    <definedName name="ExternalData_294" localSheetId="0">TBM_GP!#REF!</definedName>
    <definedName name="ExternalData_295" localSheetId="0">TBM_GP!#REF!</definedName>
    <definedName name="ExternalData_296" localSheetId="0">TBM_GP!#REF!</definedName>
    <definedName name="ExternalData_297" localSheetId="0">TBM_GP!#REF!</definedName>
    <definedName name="ExternalData_299" localSheetId="0">TBM_GP!#REF!</definedName>
    <definedName name="ExternalData_30" localSheetId="0">TBM_GP!#REF!</definedName>
    <definedName name="ExternalData_300" localSheetId="0">TBM_GP!#REF!</definedName>
    <definedName name="ExternalData_301" localSheetId="0">TBM_GP!#REF!</definedName>
    <definedName name="ExternalData_302" localSheetId="0">TBM_GP!#REF!</definedName>
    <definedName name="ExternalData_303" localSheetId="0">TBM_GP!#REF!</definedName>
    <definedName name="ExternalData_304" localSheetId="0">TBM_GP!#REF!</definedName>
    <definedName name="ExternalData_306" localSheetId="0">TBM_GP!#REF!</definedName>
    <definedName name="ExternalData_307" localSheetId="0">TBM_GP!#REF!</definedName>
    <definedName name="ExternalData_308" localSheetId="0">TBM_GP!#REF!</definedName>
    <definedName name="ExternalData_309" localSheetId="0">TBM_GP!#REF!</definedName>
    <definedName name="ExternalData_31" localSheetId="0">TBM_GP!#REF!</definedName>
    <definedName name="ExternalData_310" localSheetId="0">TBM_GP!#REF!</definedName>
    <definedName name="ExternalData_311" localSheetId="0">TBM_GP!#REF!</definedName>
    <definedName name="ExternalData_312" localSheetId="0">TBM_GP!#REF!</definedName>
    <definedName name="ExternalData_313" localSheetId="0">TBM_GP!#REF!</definedName>
    <definedName name="ExternalData_314" localSheetId="0">TBM_GP!#REF!</definedName>
    <definedName name="ExternalData_315" localSheetId="0">TBM_GP!#REF!</definedName>
    <definedName name="ExternalData_316" localSheetId="0">TBM_GP!#REF!</definedName>
    <definedName name="ExternalData_317" localSheetId="0">TBM_GP!#REF!</definedName>
    <definedName name="ExternalData_318" localSheetId="0">TBM_GP!#REF!</definedName>
    <definedName name="ExternalData_319" localSheetId="0">TBM_GP!#REF!</definedName>
    <definedName name="ExternalData_32" localSheetId="0">TBM_GP!#REF!</definedName>
    <definedName name="ExternalData_320" localSheetId="0">TBM_GP!#REF!</definedName>
    <definedName name="ExternalData_321" localSheetId="0">TBM_GP!#REF!</definedName>
    <definedName name="ExternalData_322" localSheetId="0">TBM_GP!#REF!</definedName>
    <definedName name="ExternalData_323" localSheetId="0">TBM_GP!#REF!</definedName>
    <definedName name="ExternalData_324" localSheetId="0">TBM_GP!#REF!</definedName>
    <definedName name="ExternalData_325" localSheetId="0">TBM_GP!#REF!</definedName>
    <definedName name="ExternalData_326" localSheetId="0">TBM_GP!#REF!</definedName>
    <definedName name="ExternalData_327" localSheetId="0">TBM_GP!#REF!</definedName>
    <definedName name="ExternalData_328" localSheetId="0">TBM_GP!#REF!</definedName>
    <definedName name="ExternalData_329" localSheetId="0">TBM_GP!#REF!</definedName>
    <definedName name="ExternalData_33" localSheetId="0">TBM_GP!#REF!</definedName>
    <definedName name="ExternalData_330" localSheetId="0">TBM_GP!#REF!</definedName>
    <definedName name="ExternalData_331" localSheetId="0">TBM_GP!#REF!</definedName>
    <definedName name="ExternalData_332" localSheetId="0">TBM_GP!#REF!</definedName>
    <definedName name="ExternalData_333" localSheetId="0">TBM_GP!#REF!</definedName>
    <definedName name="ExternalData_334" localSheetId="0">TBM_GP!#REF!</definedName>
    <definedName name="ExternalData_335" localSheetId="0">TBM_GP!#REF!</definedName>
    <definedName name="ExternalData_336" localSheetId="0">TBM_GP!#REF!</definedName>
    <definedName name="ExternalData_337" localSheetId="0">TBM_GP!#REF!</definedName>
    <definedName name="ExternalData_338" localSheetId="0">TBM_GP!#REF!</definedName>
    <definedName name="ExternalData_34" localSheetId="0">TBM_GP!#REF!</definedName>
    <definedName name="ExternalData_340" localSheetId="0">TBM_GP!#REF!</definedName>
    <definedName name="ExternalData_341" localSheetId="0">TBM_GP!#REF!</definedName>
    <definedName name="ExternalData_343" localSheetId="0">TBM_GP!#REF!</definedName>
    <definedName name="ExternalData_344" localSheetId="0">TBM_GP!#REF!</definedName>
    <definedName name="ExternalData_345" localSheetId="0">TBM_GP!#REF!</definedName>
    <definedName name="ExternalData_346" localSheetId="0">TBM_GP!#REF!</definedName>
    <definedName name="ExternalData_347" localSheetId="0">TBM_GP!#REF!</definedName>
    <definedName name="ExternalData_348" localSheetId="0">TBM_GP!#REF!</definedName>
    <definedName name="ExternalData_349" localSheetId="0">TBM_GP!#REF!</definedName>
    <definedName name="ExternalData_35" localSheetId="0">TBM_GP!#REF!</definedName>
    <definedName name="ExternalData_350" localSheetId="0">TBM_GP!#REF!</definedName>
    <definedName name="ExternalData_351" localSheetId="0">TBM_GP!#REF!</definedName>
    <definedName name="ExternalData_352" localSheetId="0">TBM_GP!#REF!</definedName>
    <definedName name="ExternalData_353" localSheetId="0">TBM_GP!#REF!</definedName>
    <definedName name="ExternalData_354" localSheetId="0">TBM_GP!#REF!</definedName>
    <definedName name="ExternalData_355" localSheetId="0">TBM_GP!#REF!</definedName>
    <definedName name="ExternalData_356" localSheetId="0">TBM_GP!#REF!</definedName>
    <definedName name="ExternalData_357" localSheetId="0">TBM_GP!#REF!</definedName>
    <definedName name="ExternalData_358" localSheetId="0">TBM_GP!#REF!</definedName>
    <definedName name="ExternalData_359" localSheetId="0">TBM_GP!#REF!</definedName>
    <definedName name="ExternalData_36" localSheetId="0">TBM_GP!#REF!</definedName>
    <definedName name="ExternalData_360" localSheetId="0">TBM_GP!#REF!</definedName>
    <definedName name="ExternalData_361" localSheetId="0">TBM_GP!#REF!</definedName>
    <definedName name="ExternalData_362" localSheetId="0">TBM_GP!#REF!</definedName>
    <definedName name="ExternalData_363" localSheetId="0">TBM_GP!#REF!</definedName>
    <definedName name="ExternalData_364" localSheetId="0">TBM_GP!#REF!</definedName>
    <definedName name="ExternalData_365" localSheetId="0">TBM_GP!#REF!</definedName>
    <definedName name="ExternalData_366" localSheetId="0">TBM_GP!#REF!</definedName>
    <definedName name="ExternalData_367" localSheetId="0">TBM_GP!#REF!</definedName>
    <definedName name="ExternalData_368" localSheetId="0">TBM_GP!#REF!</definedName>
    <definedName name="ExternalData_369" localSheetId="0">TBM_GP!#REF!</definedName>
    <definedName name="ExternalData_37" localSheetId="0">TBM_GP!#REF!</definedName>
    <definedName name="ExternalData_370" localSheetId="0">TBM_GP!#REF!</definedName>
    <definedName name="ExternalData_371" localSheetId="0">TBM_GP!#REF!</definedName>
    <definedName name="ExternalData_372" localSheetId="0">TBM_GP!#REF!</definedName>
    <definedName name="ExternalData_373" localSheetId="0">TBM_GP!#REF!</definedName>
    <definedName name="ExternalData_374" localSheetId="0">TBM_GP!#REF!</definedName>
    <definedName name="ExternalData_375" localSheetId="0">TBM_GP!#REF!</definedName>
    <definedName name="ExternalData_376" localSheetId="0">TBM_GP!#REF!</definedName>
    <definedName name="ExternalData_377" localSheetId="0">TBM_GP!#REF!</definedName>
    <definedName name="ExternalData_378" localSheetId="0">TBM_GP!#REF!</definedName>
    <definedName name="ExternalData_379" localSheetId="0">TBM_GP!#REF!</definedName>
    <definedName name="ExternalData_38" localSheetId="0">TBM_GP!#REF!</definedName>
    <definedName name="ExternalData_380" localSheetId="0">TBM_GP!#REF!</definedName>
    <definedName name="ExternalData_381" localSheetId="0">TBM_GP!#REF!</definedName>
    <definedName name="ExternalData_382" localSheetId="0">TBM_GP!#REF!</definedName>
    <definedName name="ExternalData_383" localSheetId="0">TBM_GP!#REF!</definedName>
    <definedName name="ExternalData_384" localSheetId="0">TBM_GP!#REF!</definedName>
    <definedName name="ExternalData_385" localSheetId="0">TBM_GP!#REF!</definedName>
    <definedName name="ExternalData_386" localSheetId="0">TBM_GP!#REF!</definedName>
    <definedName name="ExternalData_387" localSheetId="0">TBM_GP!#REF!</definedName>
    <definedName name="ExternalData_388" localSheetId="0">TBM_GP!#REF!</definedName>
    <definedName name="ExternalData_389" localSheetId="0">TBM_GP!#REF!</definedName>
    <definedName name="ExternalData_39" localSheetId="0">TBM_GP!#REF!</definedName>
    <definedName name="ExternalData_390" localSheetId="0">TBM_GP!#REF!</definedName>
    <definedName name="ExternalData_391" localSheetId="0">TBM_GP!#REF!</definedName>
    <definedName name="ExternalData_392" localSheetId="0">TBM_GP!#REF!</definedName>
    <definedName name="ExternalData_393" localSheetId="0">TBM_GP!#REF!</definedName>
    <definedName name="ExternalData_394" localSheetId="0">TBM_GP!#REF!</definedName>
    <definedName name="ExternalData_395" localSheetId="0">TBM_GP!#REF!</definedName>
    <definedName name="ExternalData_396" localSheetId="0">TBM_GP!#REF!</definedName>
    <definedName name="ExternalData_397" localSheetId="0">TBM_GP!#REF!</definedName>
    <definedName name="ExternalData_398" localSheetId="0">TBM_GP!#REF!</definedName>
    <definedName name="ExternalData_399" localSheetId="0">TBM_GP!#REF!</definedName>
    <definedName name="ExternalData_40" localSheetId="0">TBM_GP!#REF!</definedName>
    <definedName name="ExternalData_400" localSheetId="0">TBM_GP!#REF!</definedName>
    <definedName name="ExternalData_401" localSheetId="0">TBM_GP!#REF!</definedName>
    <definedName name="ExternalData_402" localSheetId="0">TBM_GP!#REF!</definedName>
    <definedName name="ExternalData_403" localSheetId="0">TBM_GP!#REF!</definedName>
    <definedName name="ExternalData_404" localSheetId="0">TBM_GP!#REF!</definedName>
    <definedName name="ExternalData_405" localSheetId="0">TBM_GP!#REF!</definedName>
    <definedName name="ExternalData_406" localSheetId="0">TBM_GP!#REF!</definedName>
    <definedName name="ExternalData_407" localSheetId="0">TBM_GP!#REF!</definedName>
    <definedName name="ExternalData_408" localSheetId="0">TBM_GP!#REF!</definedName>
    <definedName name="ExternalData_409" localSheetId="0">TBM_GP!#REF!</definedName>
    <definedName name="ExternalData_41" localSheetId="0">TBM_GP!#REF!</definedName>
    <definedName name="ExternalData_410" localSheetId="0">TBM_GP!#REF!</definedName>
    <definedName name="ExternalData_411" localSheetId="0">TBM_GP!#REF!</definedName>
    <definedName name="ExternalData_412" localSheetId="0">TBM_GP!#REF!</definedName>
    <definedName name="ExternalData_413" localSheetId="0">TBM_GP!#REF!</definedName>
    <definedName name="ExternalData_414" localSheetId="0">TBM_GP!#REF!</definedName>
    <definedName name="ExternalData_415" localSheetId="0">TBM_GP!#REF!</definedName>
    <definedName name="ExternalData_416" localSheetId="0">TBM_GP!#REF!</definedName>
    <definedName name="ExternalData_417" localSheetId="0">TBM_GP!#REF!</definedName>
    <definedName name="ExternalData_418" localSheetId="0">TBM_GP!#REF!</definedName>
    <definedName name="ExternalData_419" localSheetId="0">TBM_GP!#REF!</definedName>
    <definedName name="ExternalData_42" localSheetId="0">TBM_GP!#REF!</definedName>
    <definedName name="ExternalData_420" localSheetId="0">TBM_GP!#REF!</definedName>
    <definedName name="ExternalData_421" localSheetId="0">TBM_GP!#REF!</definedName>
    <definedName name="ExternalData_422" localSheetId="0">TBM_GP!#REF!</definedName>
    <definedName name="ExternalData_423" localSheetId="0">TBM_GP!#REF!</definedName>
    <definedName name="ExternalData_424" localSheetId="0">TBM_GP!#REF!</definedName>
    <definedName name="ExternalData_425" localSheetId="0">TBM_GP!#REF!</definedName>
    <definedName name="ExternalData_426" localSheetId="0">TBM_GP!#REF!</definedName>
    <definedName name="ExternalData_427" localSheetId="0">TBM_GP!#REF!</definedName>
    <definedName name="ExternalData_428" localSheetId="0">TBM_GP!#REF!</definedName>
    <definedName name="ExternalData_429" localSheetId="0">TBM_GP!#REF!</definedName>
    <definedName name="ExternalData_43" localSheetId="0">TBM_GP!#REF!</definedName>
    <definedName name="ExternalData_430" localSheetId="0">TBM_GP!#REF!</definedName>
    <definedName name="ExternalData_431" localSheetId="0">TBM_GP!#REF!</definedName>
    <definedName name="ExternalData_432" localSheetId="0">TBM_GP!#REF!</definedName>
    <definedName name="ExternalData_433" localSheetId="0">TBM_GP!#REF!</definedName>
    <definedName name="ExternalData_434" localSheetId="0">TBM_GP!#REF!</definedName>
    <definedName name="ExternalData_435" localSheetId="0">TBM_GP!#REF!</definedName>
    <definedName name="ExternalData_436" localSheetId="0">TBM_GP!#REF!</definedName>
    <definedName name="ExternalData_437" localSheetId="0">TBM_GP!#REF!</definedName>
    <definedName name="ExternalData_438" localSheetId="0">TBM_GP!#REF!</definedName>
    <definedName name="ExternalData_439" localSheetId="0">TBM_GP!#REF!</definedName>
    <definedName name="ExternalData_44" localSheetId="0">TBM_GP!#REF!</definedName>
    <definedName name="ExternalData_440" localSheetId="0">TBM_GP!#REF!</definedName>
    <definedName name="ExternalData_441" localSheetId="0">TBM_GP!#REF!</definedName>
    <definedName name="ExternalData_442" localSheetId="0">TBM_GP!#REF!</definedName>
    <definedName name="ExternalData_443" localSheetId="0">TBM_GP!#REF!</definedName>
    <definedName name="ExternalData_444" localSheetId="0">TBM_GP!#REF!</definedName>
    <definedName name="ExternalData_445" localSheetId="0">TBM_GP!#REF!</definedName>
    <definedName name="ExternalData_446" localSheetId="0">TBM_GP!#REF!</definedName>
    <definedName name="ExternalData_447" localSheetId="0">TBM_GP!#REF!</definedName>
    <definedName name="ExternalData_448" localSheetId="0">TBM_GP!#REF!</definedName>
    <definedName name="ExternalData_449" localSheetId="0">TBM_GP!#REF!</definedName>
    <definedName name="ExternalData_45" localSheetId="0">TBM_GP!#REF!</definedName>
    <definedName name="ExternalData_450" localSheetId="0">TBM_GP!#REF!</definedName>
    <definedName name="ExternalData_451" localSheetId="0">TBM_GP!#REF!</definedName>
    <definedName name="ExternalData_452" localSheetId="0">TBM_GP!#REF!</definedName>
    <definedName name="ExternalData_453" localSheetId="0">TBM_GP!#REF!</definedName>
    <definedName name="ExternalData_454" localSheetId="0">TBM_GP!#REF!</definedName>
    <definedName name="ExternalData_455" localSheetId="0">TBM_GP!#REF!</definedName>
    <definedName name="ExternalData_456" localSheetId="0">TBM_GP!#REF!</definedName>
    <definedName name="ExternalData_457" localSheetId="0">TBM_GP!#REF!</definedName>
    <definedName name="ExternalData_458" localSheetId="0">TBM_GP!#REF!</definedName>
    <definedName name="ExternalData_459" localSheetId="0">TBM_GP!#REF!</definedName>
    <definedName name="ExternalData_46" localSheetId="0">TBM_GP!#REF!</definedName>
    <definedName name="ExternalData_460" localSheetId="0">TBM_GP!#REF!</definedName>
    <definedName name="ExternalData_461" localSheetId="0">TBM_GP!#REF!</definedName>
    <definedName name="ExternalData_462" localSheetId="0">TBM_GP!#REF!</definedName>
    <definedName name="ExternalData_463" localSheetId="0">TBM_GP!#REF!</definedName>
    <definedName name="ExternalData_464" localSheetId="0">TBM_GP!#REF!</definedName>
    <definedName name="ExternalData_465" localSheetId="0">TBM_GP!#REF!</definedName>
    <definedName name="ExternalData_466" localSheetId="0">TBM_GP!#REF!</definedName>
    <definedName name="ExternalData_467" localSheetId="0">TBM_GP!#REF!</definedName>
    <definedName name="ExternalData_468" localSheetId="0">TBM_GP!#REF!</definedName>
    <definedName name="ExternalData_469" localSheetId="0">TBM_GP!#REF!</definedName>
    <definedName name="ExternalData_47" localSheetId="0">TBM_GP!#REF!</definedName>
    <definedName name="ExternalData_470" localSheetId="0">TBM_GP!#REF!</definedName>
    <definedName name="ExternalData_471" localSheetId="0">TBM_GP!#REF!</definedName>
    <definedName name="ExternalData_472" localSheetId="0">TBM_GP!#REF!</definedName>
    <definedName name="ExternalData_473" localSheetId="0">TBM_GP!#REF!</definedName>
    <definedName name="ExternalData_474" localSheetId="0">TBM_GP!#REF!</definedName>
    <definedName name="ExternalData_475" localSheetId="0">TBM_GP!#REF!</definedName>
    <definedName name="ExternalData_476" localSheetId="0">TBM_GP!#REF!</definedName>
    <definedName name="ExternalData_477" localSheetId="0">TBM_GP!#REF!</definedName>
    <definedName name="ExternalData_478" localSheetId="0">TBM_GP!#REF!</definedName>
    <definedName name="ExternalData_479" localSheetId="0">TBM_GP!#REF!</definedName>
    <definedName name="ExternalData_48" localSheetId="0">TBM_GP!#REF!</definedName>
    <definedName name="ExternalData_480" localSheetId="0">TBM_GP!#REF!</definedName>
    <definedName name="ExternalData_481" localSheetId="0">TBM_GP!#REF!</definedName>
    <definedName name="ExternalData_482" localSheetId="0">TBM_GP!#REF!</definedName>
    <definedName name="ExternalData_483" localSheetId="0">TBM_GP!#REF!</definedName>
    <definedName name="ExternalData_484" localSheetId="0">TBM_GP!#REF!</definedName>
    <definedName name="ExternalData_485" localSheetId="0">TBM_GP!#REF!</definedName>
    <definedName name="ExternalData_486" localSheetId="0">TBM_GP!#REF!</definedName>
    <definedName name="ExternalData_487" localSheetId="0">TBM_GP!#REF!</definedName>
    <definedName name="ExternalData_488" localSheetId="0">TBM_GP!#REF!</definedName>
    <definedName name="ExternalData_489" localSheetId="0">TBM_GP!#REF!</definedName>
    <definedName name="ExternalData_49" localSheetId="0">TBM_GP!#REF!</definedName>
    <definedName name="ExternalData_490" localSheetId="0">TBM_GP!#REF!</definedName>
    <definedName name="ExternalData_491" localSheetId="0">TBM_GP!#REF!</definedName>
    <definedName name="ExternalData_492" localSheetId="0">TBM_GP!#REF!</definedName>
    <definedName name="ExternalData_493" localSheetId="0">TBM_GP!#REF!</definedName>
    <definedName name="ExternalData_494" localSheetId="0">TBM_GP!#REF!</definedName>
    <definedName name="ExternalData_495" localSheetId="0">TBM_GP!#REF!</definedName>
    <definedName name="ExternalData_496" localSheetId="0">TBM_GP!#REF!</definedName>
    <definedName name="ExternalData_497" localSheetId="0">TBM_GP!#REF!</definedName>
    <definedName name="ExternalData_499" localSheetId="0">TBM_GP!#REF!</definedName>
    <definedName name="ExternalData_50" localSheetId="0">TBM_GP!#REF!</definedName>
    <definedName name="ExternalData_500" localSheetId="0">TBM_GP!#REF!</definedName>
    <definedName name="ExternalData_501" localSheetId="0">TBM_GP!#REF!</definedName>
    <definedName name="ExternalData_502" localSheetId="0">TBM_GP!#REF!</definedName>
    <definedName name="ExternalData_503" localSheetId="0">TBM_GP!#REF!</definedName>
    <definedName name="ExternalData_505" localSheetId="0">TBM_GP!#REF!</definedName>
    <definedName name="ExternalData_506" localSheetId="0">TBM_GP!#REF!</definedName>
    <definedName name="ExternalData_508" localSheetId="0">TBM_GP!#REF!</definedName>
    <definedName name="ExternalData_509" localSheetId="0">TBM_GP!#REF!</definedName>
    <definedName name="ExternalData_51" localSheetId="0">TBM_GP!#REF!</definedName>
    <definedName name="ExternalData_511" localSheetId="0">TBM_GP!#REF!</definedName>
    <definedName name="ExternalData_512" localSheetId="0">TBM_GP!#REF!</definedName>
    <definedName name="ExternalData_513" localSheetId="0">TBM_GP!#REF!</definedName>
    <definedName name="ExternalData_514" localSheetId="0">TBM_GP!#REF!</definedName>
    <definedName name="ExternalData_515" localSheetId="0">TBM_GP!#REF!</definedName>
    <definedName name="ExternalData_516" localSheetId="0">TBM_GP!#REF!</definedName>
    <definedName name="ExternalData_517" localSheetId="0">TBM_GP!#REF!</definedName>
    <definedName name="ExternalData_518" localSheetId="0">TBM_GP!#REF!</definedName>
    <definedName name="ExternalData_519" localSheetId="0">TBM_GP!#REF!</definedName>
    <definedName name="ExternalData_52" localSheetId="0">TBM_GP!#REF!</definedName>
    <definedName name="ExternalData_520" localSheetId="0">TBM_GP!#REF!</definedName>
    <definedName name="ExternalData_521" localSheetId="0">TBM_GP!#REF!</definedName>
    <definedName name="ExternalData_522" localSheetId="0">TBM_GP!#REF!</definedName>
    <definedName name="ExternalData_523" localSheetId="0">TBM_GP!#REF!</definedName>
    <definedName name="ExternalData_524" localSheetId="0">TBM_GP!#REF!</definedName>
    <definedName name="ExternalData_525" localSheetId="0">TBM_GP!#REF!</definedName>
    <definedName name="ExternalData_526" localSheetId="0">TBM_GP!#REF!</definedName>
    <definedName name="ExternalData_527" localSheetId="0">TBM_GP!#REF!</definedName>
    <definedName name="ExternalData_528" localSheetId="0">TBM_GP!#REF!</definedName>
    <definedName name="ExternalData_529" localSheetId="0">TBM_GP!#REF!</definedName>
    <definedName name="ExternalData_53" localSheetId="0">TBM_GP!#REF!</definedName>
    <definedName name="ExternalData_530" localSheetId="0">TBM_GP!#REF!</definedName>
    <definedName name="ExternalData_531" localSheetId="0">TBM_GP!#REF!</definedName>
    <definedName name="ExternalData_532" localSheetId="0">TBM_GP!#REF!</definedName>
    <definedName name="ExternalData_533" localSheetId="0">TBM_GP!#REF!</definedName>
    <definedName name="ExternalData_534" localSheetId="0">TBM_GP!#REF!</definedName>
    <definedName name="ExternalData_535" localSheetId="0">TBM_GP!#REF!</definedName>
    <definedName name="ExternalData_536" localSheetId="0">TBM_GP!#REF!</definedName>
    <definedName name="ExternalData_537" localSheetId="0">TBM_GP!#REF!</definedName>
    <definedName name="ExternalData_538" localSheetId="0">TBM_GP!#REF!</definedName>
    <definedName name="ExternalData_539" localSheetId="0">TBM_GP!#REF!</definedName>
    <definedName name="ExternalData_54" localSheetId="0">TBM_GP!#REF!</definedName>
    <definedName name="ExternalData_540" localSheetId="0">TBM_GP!#REF!</definedName>
    <definedName name="ExternalData_541" localSheetId="0">TBM_GP!#REF!</definedName>
    <definedName name="ExternalData_542" localSheetId="0">TBM_GP!#REF!</definedName>
    <definedName name="ExternalData_543" localSheetId="0">TBM_GP!#REF!</definedName>
    <definedName name="ExternalData_544" localSheetId="0">TBM_GP!#REF!</definedName>
    <definedName name="ExternalData_545" localSheetId="0">TBM_GP!#REF!</definedName>
    <definedName name="ExternalData_546" localSheetId="0">TBM_GP!#REF!</definedName>
    <definedName name="ExternalData_547" localSheetId="0">TBM_GP!#REF!</definedName>
    <definedName name="ExternalData_548" localSheetId="0">TBM_GP!#REF!</definedName>
    <definedName name="ExternalData_549" localSheetId="0">TBM_GP!#REF!</definedName>
    <definedName name="ExternalData_55" localSheetId="0">TBM_GP!#REF!</definedName>
    <definedName name="ExternalData_550" localSheetId="0">TBM_GP!#REF!</definedName>
    <definedName name="ExternalData_551" localSheetId="0">TBM_GP!#REF!</definedName>
    <definedName name="ExternalData_552" localSheetId="0">TBM_GP!#REF!</definedName>
    <definedName name="ExternalData_553" localSheetId="0">TBM_GP!#REF!</definedName>
    <definedName name="ExternalData_554" localSheetId="0">TBM_GP!#REF!</definedName>
    <definedName name="ExternalData_555" localSheetId="0">TBM_GP!#REF!</definedName>
    <definedName name="ExternalData_556" localSheetId="0">TBM_GP!#REF!</definedName>
    <definedName name="ExternalData_557" localSheetId="0">TBM_GP!#REF!</definedName>
    <definedName name="ExternalData_558" localSheetId="0">TBM_GP!#REF!</definedName>
    <definedName name="ExternalData_56" localSheetId="0">TBM_GP!#REF!</definedName>
    <definedName name="ExternalData_560" localSheetId="0">TBM_GP!#REF!</definedName>
    <definedName name="ExternalData_561" localSheetId="0">TBM_GP!#REF!</definedName>
    <definedName name="ExternalData_562" localSheetId="0">TBM_GP!#REF!</definedName>
    <definedName name="ExternalData_563" localSheetId="0">TBM_GP!#REF!</definedName>
    <definedName name="ExternalData_564" localSheetId="0">TBM_GP!#REF!</definedName>
    <definedName name="ExternalData_565" localSheetId="0">TBM_GP!#REF!</definedName>
    <definedName name="ExternalData_566" localSheetId="0">TBM_GP!#REF!</definedName>
    <definedName name="ExternalData_567" localSheetId="0">TBM_GP!#REF!</definedName>
    <definedName name="ExternalData_568" localSheetId="0">TBM_GP!#REF!</definedName>
    <definedName name="ExternalData_569" localSheetId="0">TBM_GP!#REF!</definedName>
    <definedName name="ExternalData_57" localSheetId="0">TBM_GP!#REF!</definedName>
    <definedName name="ExternalData_570" localSheetId="0">TBM_GP!#REF!</definedName>
    <definedName name="ExternalData_571" localSheetId="0">TBM_GP!#REF!</definedName>
    <definedName name="ExternalData_572" localSheetId="0">TBM_GP!#REF!</definedName>
    <definedName name="ExternalData_573" localSheetId="0">TBM_GP!#REF!</definedName>
    <definedName name="ExternalData_574" localSheetId="0">TBM_GP!#REF!</definedName>
    <definedName name="ExternalData_575" localSheetId="0">TBM_GP!#REF!</definedName>
    <definedName name="ExternalData_576" localSheetId="0">TBM_GP!#REF!</definedName>
    <definedName name="ExternalData_577" localSheetId="0">TBM_GP!#REF!</definedName>
    <definedName name="ExternalData_578" localSheetId="0">TBM_GP!#REF!</definedName>
    <definedName name="ExternalData_579" localSheetId="0">TBM_GP!#REF!</definedName>
    <definedName name="ExternalData_58" localSheetId="0">TBM_GP!#REF!</definedName>
    <definedName name="ExternalData_580" localSheetId="0">TBM_GP!#REF!</definedName>
    <definedName name="ExternalData_581" localSheetId="0">TBM_GP!#REF!</definedName>
    <definedName name="ExternalData_582" localSheetId="0">TBM_GP!#REF!</definedName>
    <definedName name="ExternalData_583" localSheetId="0">TBM_GP!#REF!</definedName>
    <definedName name="ExternalData_584" localSheetId="0">TBM_GP!#REF!</definedName>
    <definedName name="ExternalData_585" localSheetId="0">TBM_GP!#REF!</definedName>
    <definedName name="ExternalData_586" localSheetId="0">TBM_GP!#REF!</definedName>
    <definedName name="ExternalData_587" localSheetId="0">TBM_GP!#REF!</definedName>
    <definedName name="ExternalData_588" localSheetId="0">TBM_GP!#REF!</definedName>
    <definedName name="ExternalData_589" localSheetId="0">TBM_GP!#REF!</definedName>
    <definedName name="ExternalData_59" localSheetId="0">TBM_GP!#REF!</definedName>
    <definedName name="ExternalData_590" localSheetId="0">TBM_GP!#REF!</definedName>
    <definedName name="ExternalData_591" localSheetId="0">TBM_GP!#REF!</definedName>
    <definedName name="ExternalData_592" localSheetId="0">TBM_GP!#REF!</definedName>
    <definedName name="ExternalData_593" localSheetId="0">TBM_GP!#REF!</definedName>
    <definedName name="ExternalData_594" localSheetId="0">TBM_GP!#REF!</definedName>
    <definedName name="ExternalData_595" localSheetId="0">TBM_GP!#REF!</definedName>
    <definedName name="ExternalData_596" localSheetId="0">TBM_GP!#REF!</definedName>
    <definedName name="ExternalData_597" localSheetId="0">TBM_GP!#REF!</definedName>
    <definedName name="ExternalData_598" localSheetId="0">TBM_GP!#REF!</definedName>
    <definedName name="ExternalData_599" localSheetId="0">TBM_GP!#REF!</definedName>
    <definedName name="ExternalData_60" localSheetId="0">TBM_GP!#REF!</definedName>
    <definedName name="ExternalData_600" localSheetId="0">TBM_GP!#REF!</definedName>
    <definedName name="ExternalData_601" localSheetId="0">TBM_GP!#REF!</definedName>
    <definedName name="ExternalData_602" localSheetId="0">TBM_GP!#REF!</definedName>
    <definedName name="ExternalData_603" localSheetId="0">TBM_GP!#REF!</definedName>
    <definedName name="ExternalData_604" localSheetId="0">TBM_GP!#REF!</definedName>
    <definedName name="ExternalData_605" localSheetId="0">TBM_GP!#REF!</definedName>
    <definedName name="ExternalData_606" localSheetId="0">TBM_GP!#REF!</definedName>
    <definedName name="ExternalData_607" localSheetId="0">TBM_GP!#REF!</definedName>
    <definedName name="ExternalData_608" localSheetId="0">TBM_GP!#REF!</definedName>
    <definedName name="ExternalData_609" localSheetId="0">TBM_GP!#REF!</definedName>
    <definedName name="ExternalData_61" localSheetId="0">TBM_GP!#REF!</definedName>
    <definedName name="ExternalData_610" localSheetId="0">TBM_GP!#REF!</definedName>
    <definedName name="ExternalData_612" localSheetId="0">TBM_GP!#REF!</definedName>
    <definedName name="ExternalData_613" localSheetId="0">TBM_GP!#REF!</definedName>
    <definedName name="ExternalData_614" localSheetId="0">TBM_GP!#REF!</definedName>
    <definedName name="ExternalData_615" localSheetId="0">TBM_GP!#REF!</definedName>
    <definedName name="ExternalData_616" localSheetId="0">TBM_GP!#REF!</definedName>
    <definedName name="ExternalData_617" localSheetId="0">TBM_GP!#REF!</definedName>
    <definedName name="ExternalData_618" localSheetId="0">TBM_GP!#REF!</definedName>
    <definedName name="ExternalData_619" localSheetId="0">TBM_GP!#REF!</definedName>
    <definedName name="ExternalData_62" localSheetId="0">TBM_GP!#REF!</definedName>
    <definedName name="ExternalData_620" localSheetId="0">TBM_GP!#REF!</definedName>
    <definedName name="ExternalData_621" localSheetId="0">TBM_GP!#REF!</definedName>
    <definedName name="ExternalData_622" localSheetId="0">TBM_GP!#REF!</definedName>
    <definedName name="ExternalData_623" localSheetId="0">TBM_GP!#REF!</definedName>
    <definedName name="ExternalData_624" localSheetId="0">TBM_GP!#REF!</definedName>
    <definedName name="ExternalData_625" localSheetId="0">TBM_GP!#REF!</definedName>
    <definedName name="ExternalData_626" localSheetId="0">TBM_GP!#REF!</definedName>
    <definedName name="ExternalData_627" localSheetId="0">TBM_GP!#REF!</definedName>
    <definedName name="ExternalData_628" localSheetId="0">TBM_GP!#REF!</definedName>
    <definedName name="ExternalData_629" localSheetId="0">TBM_GP!#REF!</definedName>
    <definedName name="ExternalData_63" localSheetId="0">TBM_GP!#REF!</definedName>
    <definedName name="ExternalData_630" localSheetId="0">TBM_GP!#REF!</definedName>
    <definedName name="ExternalData_631" localSheetId="0">TBM_GP!#REF!</definedName>
    <definedName name="ExternalData_632" localSheetId="0">TBM_GP!#REF!</definedName>
    <definedName name="ExternalData_633" localSheetId="0">TBM_GP!#REF!</definedName>
    <definedName name="ExternalData_634" localSheetId="0">TBM_GP!#REF!</definedName>
    <definedName name="ExternalData_635" localSheetId="0">TBM_GP!#REF!</definedName>
    <definedName name="ExternalData_636" localSheetId="0">TBM_GP!#REF!</definedName>
    <definedName name="ExternalData_637" localSheetId="0">TBM_GP!#REF!</definedName>
    <definedName name="ExternalData_638" localSheetId="0">TBM_GP!#REF!</definedName>
    <definedName name="ExternalData_639" localSheetId="0">TBM_GP!#REF!</definedName>
    <definedName name="ExternalData_64" localSheetId="0">TBM_GP!#REF!</definedName>
    <definedName name="ExternalData_640" localSheetId="0">TBM_GP!#REF!</definedName>
    <definedName name="ExternalData_641" localSheetId="0">TBM_GP!#REF!</definedName>
    <definedName name="ExternalData_642" localSheetId="0">TBM_GP!#REF!</definedName>
    <definedName name="ExternalData_643" localSheetId="0">TBM_GP!#REF!</definedName>
    <definedName name="ExternalData_644" localSheetId="0">TBM_GP!#REF!</definedName>
    <definedName name="ExternalData_645" localSheetId="0">TBM_GP!#REF!</definedName>
    <definedName name="ExternalData_646" localSheetId="0">TBM_GP!#REF!</definedName>
    <definedName name="ExternalData_647" localSheetId="0">TBM_GP!#REF!</definedName>
    <definedName name="ExternalData_648" localSheetId="0">TBM_GP!#REF!</definedName>
    <definedName name="ExternalData_649" localSheetId="0">TBM_GP!#REF!</definedName>
    <definedName name="ExternalData_65" localSheetId="0">TBM_GP!#REF!</definedName>
    <definedName name="ExternalData_650" localSheetId="0">TBM_GP!#REF!</definedName>
    <definedName name="ExternalData_651" localSheetId="0">TBM_GP!#REF!</definedName>
    <definedName name="ExternalData_652" localSheetId="0">TBM_GP!#REF!</definedName>
    <definedName name="ExternalData_653" localSheetId="0">TBM_GP!#REF!</definedName>
    <definedName name="ExternalData_654" localSheetId="0">TBM_GP!#REF!</definedName>
    <definedName name="ExternalData_655" localSheetId="0">TBM_GP!#REF!</definedName>
    <definedName name="ExternalData_656" localSheetId="0">TBM_GP!#REF!</definedName>
    <definedName name="ExternalData_657" localSheetId="0">TBM_GP!#REF!</definedName>
    <definedName name="ExternalData_658" localSheetId="0">TBM_GP!#REF!</definedName>
    <definedName name="ExternalData_659" localSheetId="0">TBM_GP!#REF!</definedName>
    <definedName name="ExternalData_66" localSheetId="0">TBM_GP!#REF!</definedName>
    <definedName name="ExternalData_660" localSheetId="0">TBM_GP!#REF!</definedName>
    <definedName name="ExternalData_661" localSheetId="0">TBM_GP!#REF!</definedName>
    <definedName name="ExternalData_662" localSheetId="0">TBM_GP!#REF!</definedName>
    <definedName name="ExternalData_663" localSheetId="0">TBM_GP!#REF!</definedName>
    <definedName name="ExternalData_664" localSheetId="0">TBM_GP!#REF!</definedName>
    <definedName name="ExternalData_665" localSheetId="0">TBM_GP!#REF!</definedName>
    <definedName name="ExternalData_666" localSheetId="0">TBM_GP!#REF!</definedName>
    <definedName name="ExternalData_668" localSheetId="0">TBM_GP!#REF!</definedName>
    <definedName name="ExternalData_669" localSheetId="0">TBM_GP!#REF!</definedName>
    <definedName name="ExternalData_67" localSheetId="0">TBM_GP!#REF!</definedName>
    <definedName name="ExternalData_670" localSheetId="0">TBM_GP!#REF!</definedName>
    <definedName name="ExternalData_671" localSheetId="0">TBM_GP!#REF!</definedName>
    <definedName name="ExternalData_672" localSheetId="0">TBM_GP!#REF!</definedName>
    <definedName name="ExternalData_673" localSheetId="0">TBM_GP!#REF!</definedName>
    <definedName name="ExternalData_674" localSheetId="0">TBM_GP!#REF!</definedName>
    <definedName name="ExternalData_675" localSheetId="0">TBM_GP!#REF!</definedName>
    <definedName name="ExternalData_676" localSheetId="0">TBM_GP!#REF!</definedName>
    <definedName name="ExternalData_677" localSheetId="0">TBM_GP!#REF!</definedName>
    <definedName name="ExternalData_678" localSheetId="0">TBM_GP!#REF!</definedName>
    <definedName name="ExternalData_679" localSheetId="0">TBM_GP!#REF!</definedName>
    <definedName name="ExternalData_68" localSheetId="0">TBM_GP!#REF!</definedName>
    <definedName name="ExternalData_680" localSheetId="0">TBM_GP!#REF!</definedName>
    <definedName name="ExternalData_681" localSheetId="0">TBM_GP!#REF!</definedName>
    <definedName name="ExternalData_682" localSheetId="0">TBM_GP!#REF!</definedName>
    <definedName name="ExternalData_683" localSheetId="0">TBM_GP!#REF!</definedName>
    <definedName name="ExternalData_684" localSheetId="0">TBM_GP!#REF!</definedName>
    <definedName name="ExternalData_685" localSheetId="0">TBM_GP!#REF!</definedName>
    <definedName name="ExternalData_686" localSheetId="0">TBM_GP!#REF!</definedName>
    <definedName name="ExternalData_687" localSheetId="0">TBM_GP!#REF!</definedName>
    <definedName name="ExternalData_688" localSheetId="0">TBM_GP!#REF!</definedName>
    <definedName name="ExternalData_689" localSheetId="0">TBM_GP!#REF!</definedName>
    <definedName name="ExternalData_69" localSheetId="0">TBM_GP!#REF!</definedName>
    <definedName name="ExternalData_690" localSheetId="0">TBM_GP!#REF!</definedName>
    <definedName name="ExternalData_691" localSheetId="0">TBM_GP!#REF!</definedName>
    <definedName name="ExternalData_692" localSheetId="0">TBM_GP!#REF!</definedName>
    <definedName name="ExternalData_693" localSheetId="0">TBM_GP!#REF!</definedName>
    <definedName name="ExternalData_694" localSheetId="0">TBM_GP!#REF!</definedName>
    <definedName name="ExternalData_695" localSheetId="0">TBM_GP!#REF!</definedName>
    <definedName name="ExternalData_696" localSheetId="0">TBM_GP!#REF!</definedName>
    <definedName name="ExternalData_697" localSheetId="0">TBM_GP!#REF!</definedName>
    <definedName name="ExternalData_698" localSheetId="0">TBM_GP!#REF!</definedName>
    <definedName name="ExternalData_699" localSheetId="0">TBM_GP!#REF!</definedName>
    <definedName name="ExternalData_700" localSheetId="0">TBM_GP!#REF!</definedName>
    <definedName name="ExternalData_701" localSheetId="0">TBM_GP!#REF!</definedName>
    <definedName name="ExternalData_702" localSheetId="0">TBM_GP!#REF!</definedName>
    <definedName name="ExternalData_703" localSheetId="0">TBM_GP!#REF!</definedName>
    <definedName name="ExternalData_704" localSheetId="0">TBM_GP!#REF!</definedName>
    <definedName name="ExternalData_705" localSheetId="0">TBM_GP!#REF!</definedName>
    <definedName name="ExternalData_706" localSheetId="0">TBM_GP!#REF!</definedName>
    <definedName name="ExternalData_707" localSheetId="0">TBM_GP!#REF!</definedName>
    <definedName name="ExternalData_708" localSheetId="0">TBM_GP!#REF!</definedName>
    <definedName name="ExternalData_709" localSheetId="0">TBM_GP!#REF!</definedName>
    <definedName name="ExternalData_71" localSheetId="0">TBM_GP!#REF!</definedName>
    <definedName name="ExternalData_710" localSheetId="0">TBM_GP!#REF!</definedName>
    <definedName name="ExternalData_711" localSheetId="0">TBM_GP!#REF!</definedName>
    <definedName name="ExternalData_712" localSheetId="0">TBM_GP!#REF!</definedName>
    <definedName name="ExternalData_713" localSheetId="0">TBM_GP!#REF!</definedName>
    <definedName name="ExternalData_714" localSheetId="0">TBM_GP!#REF!</definedName>
    <definedName name="ExternalData_715" localSheetId="0">TBM_GP!#REF!</definedName>
    <definedName name="ExternalData_716" localSheetId="0">TBM_GP!#REF!</definedName>
    <definedName name="ExternalData_717" localSheetId="0">TBM_GP!#REF!</definedName>
    <definedName name="ExternalData_718" localSheetId="0">TBM_GP!#REF!</definedName>
    <definedName name="ExternalData_719" localSheetId="0">TBM_GP!#REF!</definedName>
    <definedName name="ExternalData_72" localSheetId="0">TBM_GP!#REF!</definedName>
    <definedName name="ExternalData_720" localSheetId="0">TBM_GP!#REF!</definedName>
    <definedName name="ExternalData_721" localSheetId="0">TBM_GP!#REF!</definedName>
    <definedName name="ExternalData_722" localSheetId="0">TBM_GP!#REF!</definedName>
    <definedName name="ExternalData_723" localSheetId="0">TBM_GP!#REF!</definedName>
    <definedName name="ExternalData_724" localSheetId="0">TBM_GP!#REF!</definedName>
    <definedName name="ExternalData_725" localSheetId="0">TBM_GP!#REF!</definedName>
    <definedName name="ExternalData_726" localSheetId="0">TBM_GP!#REF!</definedName>
    <definedName name="ExternalData_727" localSheetId="0">TBM_GP!#REF!</definedName>
    <definedName name="ExternalData_728" localSheetId="0">TBM_GP!#REF!</definedName>
    <definedName name="ExternalData_729" localSheetId="0">TBM_GP!#REF!</definedName>
    <definedName name="ExternalData_73" localSheetId="0">TBM_GP!#REF!</definedName>
    <definedName name="ExternalData_730" localSheetId="0">TBM_GP!#REF!</definedName>
    <definedName name="ExternalData_731" localSheetId="0">TBM_GP!#REF!</definedName>
    <definedName name="ExternalData_732" localSheetId="0">TBM_GP!#REF!</definedName>
    <definedName name="ExternalData_733" localSheetId="0">TBM_GP!#REF!</definedName>
    <definedName name="ExternalData_734" localSheetId="0">TBM_GP!#REF!</definedName>
    <definedName name="ExternalData_735" localSheetId="0">TBM_GP!#REF!</definedName>
    <definedName name="ExternalData_736" localSheetId="0">TBM_GP!#REF!</definedName>
    <definedName name="ExternalData_737" localSheetId="0">TBM_GP!#REF!</definedName>
    <definedName name="ExternalData_738" localSheetId="0">TBM_GP!#REF!</definedName>
    <definedName name="ExternalData_739" localSheetId="0">TBM_GP!#REF!</definedName>
    <definedName name="ExternalData_74" localSheetId="0">TBM_GP!#REF!</definedName>
    <definedName name="ExternalData_740" localSheetId="0">TBM_GP!#REF!</definedName>
    <definedName name="ExternalData_741" localSheetId="0">TBM_GP!#REF!</definedName>
    <definedName name="ExternalData_742" localSheetId="0">TBM_GP!#REF!</definedName>
    <definedName name="ExternalData_743" localSheetId="0">TBM_GP!#REF!</definedName>
    <definedName name="ExternalData_744" localSheetId="0">TBM_GP!#REF!</definedName>
    <definedName name="ExternalData_745" localSheetId="0">TBM_GP!#REF!</definedName>
    <definedName name="ExternalData_746" localSheetId="0">TBM_GP!#REF!</definedName>
    <definedName name="ExternalData_747" localSheetId="0">TBM_GP!#REF!</definedName>
    <definedName name="ExternalData_748" localSheetId="0">TBM_GP!#REF!</definedName>
    <definedName name="ExternalData_749" localSheetId="0">TBM_GP!#REF!</definedName>
    <definedName name="ExternalData_75" localSheetId="0">TBM_GP!#REF!</definedName>
    <definedName name="ExternalData_750" localSheetId="0">TBM_GP!#REF!</definedName>
    <definedName name="ExternalData_751" localSheetId="0">TBM_GP!#REF!</definedName>
    <definedName name="ExternalData_752" localSheetId="0">TBM_GP!#REF!</definedName>
    <definedName name="ExternalData_753" localSheetId="0">TBM_GP!#REF!</definedName>
    <definedName name="ExternalData_754" localSheetId="0">TBM_GP!#REF!</definedName>
    <definedName name="ExternalData_755" localSheetId="0">TBM_GP!#REF!</definedName>
    <definedName name="ExternalData_756" localSheetId="0">TBM_GP!#REF!</definedName>
    <definedName name="ExternalData_757" localSheetId="0">TBM_GP!#REF!</definedName>
    <definedName name="ExternalData_758" localSheetId="0">TBM_GP!#REF!</definedName>
    <definedName name="ExternalData_759" localSheetId="0">TBM_GP!#REF!</definedName>
    <definedName name="ExternalData_76" localSheetId="0">TBM_GP!#REF!</definedName>
    <definedName name="ExternalData_760" localSheetId="0">TBM_GP!#REF!</definedName>
    <definedName name="ExternalData_761" localSheetId="0">TBM_GP!#REF!</definedName>
    <definedName name="ExternalData_762" localSheetId="0">TBM_GP!#REF!</definedName>
    <definedName name="ExternalData_763" localSheetId="0">TBM_GP!#REF!</definedName>
    <definedName name="ExternalData_764" localSheetId="0">TBM_GP!#REF!</definedName>
    <definedName name="ExternalData_765" localSheetId="0">TBM_GP!#REF!</definedName>
    <definedName name="ExternalData_766" localSheetId="0">TBM_GP!#REF!</definedName>
    <definedName name="ExternalData_767" localSheetId="0">TBM_GP!#REF!</definedName>
    <definedName name="ExternalData_768" localSheetId="0">TBM_GP!#REF!</definedName>
    <definedName name="ExternalData_769" localSheetId="0">TBM_GP!#REF!</definedName>
    <definedName name="ExternalData_77" localSheetId="0">TBM_GP!#REF!</definedName>
    <definedName name="ExternalData_771" localSheetId="0">TBM_GP!#REF!</definedName>
    <definedName name="ExternalData_772" localSheetId="0">TBM_GP!#REF!</definedName>
    <definedName name="ExternalData_773" localSheetId="0">TBM_GP!#REF!</definedName>
    <definedName name="ExternalData_774" localSheetId="0">TBM_GP!#REF!</definedName>
    <definedName name="ExternalData_775" localSheetId="0">TBM_GP!#REF!</definedName>
    <definedName name="ExternalData_776" localSheetId="0">TBM_GP!#REF!</definedName>
    <definedName name="ExternalData_777" localSheetId="0">TBM_GP!#REF!</definedName>
    <definedName name="ExternalData_778" localSheetId="0">TBM_GP!#REF!</definedName>
    <definedName name="ExternalData_779" localSheetId="0">TBM_GP!#REF!</definedName>
    <definedName name="ExternalData_78" localSheetId="0">TBM_GP!#REF!</definedName>
    <definedName name="ExternalData_780" localSheetId="0">TBM_GP!#REF!</definedName>
    <definedName name="ExternalData_781" localSheetId="0">TBM_GP!#REF!</definedName>
    <definedName name="ExternalData_782" localSheetId="0">TBM_GP!#REF!</definedName>
    <definedName name="ExternalData_783" localSheetId="0">TBM_GP!#REF!</definedName>
    <definedName name="ExternalData_784" localSheetId="0">TBM_GP!#REF!</definedName>
    <definedName name="ExternalData_785" localSheetId="0">TBM_GP!#REF!</definedName>
    <definedName name="ExternalData_786" localSheetId="0">TBM_GP!#REF!</definedName>
    <definedName name="ExternalData_787" localSheetId="0">TBM_GP!#REF!</definedName>
    <definedName name="ExternalData_788" localSheetId="0">TBM_GP!#REF!</definedName>
    <definedName name="ExternalData_789" localSheetId="0">TBM_GP!#REF!</definedName>
    <definedName name="ExternalData_79" localSheetId="0">TBM_GP!#REF!</definedName>
    <definedName name="ExternalData_790" localSheetId="0">TBM_GP!#REF!</definedName>
    <definedName name="ExternalData_791" localSheetId="0">TBM_GP!$D$2:$E$157</definedName>
    <definedName name="ExternalData_792" localSheetId="0">TBM_GP!#REF!</definedName>
    <definedName name="ExternalData_793" localSheetId="0">TBM_GP!$D$2:$E$157</definedName>
    <definedName name="ExternalData_794" localSheetId="0">TBM_GP!#REF!</definedName>
    <definedName name="ExternalData_795" localSheetId="0">TBM_GP!$D$2:$E$156</definedName>
    <definedName name="ExternalData_796" localSheetId="0">TBM_GP!#REF!</definedName>
    <definedName name="ExternalData_797" localSheetId="0">TBM_GP!$D$2:$E$156</definedName>
    <definedName name="ExternalData_798" localSheetId="0">TBM_GP!#REF!</definedName>
    <definedName name="ExternalData_799" localSheetId="0">TBM_GP!$D$2:$E$156</definedName>
    <definedName name="ExternalData_80" localSheetId="0">TBM_GP!#REF!</definedName>
    <definedName name="ExternalData_800" localSheetId="0">TBM_GP!#REF!</definedName>
    <definedName name="ExternalData_801" localSheetId="0">TBM_GP!$D$2:$E$156</definedName>
    <definedName name="ExternalData_802" localSheetId="0">TBM_GP!#REF!</definedName>
    <definedName name="ExternalData_803" localSheetId="0">TBM_GP!$D$2:$E$156</definedName>
    <definedName name="ExternalData_804" localSheetId="0">TBM_GP!#REF!</definedName>
    <definedName name="ExternalData_805" localSheetId="0">TBM_GP!$D$2:$E$156</definedName>
    <definedName name="ExternalData_806" localSheetId="0">TBM_GP!#REF!</definedName>
    <definedName name="ExternalData_807" localSheetId="0">TBM_GP!$D$2:$E$156</definedName>
    <definedName name="ExternalData_808" localSheetId="0">TBM_GP!#REF!</definedName>
    <definedName name="ExternalData_809" localSheetId="0">TBM_GP!$D$2:$E$156</definedName>
    <definedName name="ExternalData_81" localSheetId="0">TBM_GP!#REF!</definedName>
    <definedName name="ExternalData_810" localSheetId="0">TBM_GP!#REF!</definedName>
    <definedName name="ExternalData_811" localSheetId="0">TBM_GP!$D$2:$E$156</definedName>
    <definedName name="ExternalData_812" localSheetId="0">TBM_GP!#REF!</definedName>
    <definedName name="ExternalData_813" localSheetId="0">TBM_GP!$D$2:$E$156</definedName>
    <definedName name="ExternalData_814" localSheetId="0">TBM_GP!#REF!</definedName>
    <definedName name="ExternalData_815" localSheetId="0">TBM_GP!$D$2:$E$156</definedName>
    <definedName name="ExternalData_816" localSheetId="0">TBM_GP!#REF!</definedName>
    <definedName name="ExternalData_817" localSheetId="0">TBM_GP!$D$2:$E$156</definedName>
    <definedName name="ExternalData_818" localSheetId="0">TBM_GP!#REF!</definedName>
    <definedName name="ExternalData_819" localSheetId="0">TBM_GP!$D$2:$E$156</definedName>
    <definedName name="ExternalData_82" localSheetId="0">TBM_GP!#REF!</definedName>
    <definedName name="ExternalData_820" localSheetId="0">TBM_GP!#REF!</definedName>
    <definedName name="ExternalData_821" localSheetId="0">TBM_GP!$D$2:$E$156</definedName>
    <definedName name="ExternalData_822" localSheetId="0">TBM_GP!#REF!</definedName>
    <definedName name="ExternalData_823" localSheetId="0">TBM_GP!$D$2:$E$156</definedName>
    <definedName name="ExternalData_824" localSheetId="0">TBM_GP!#REF!</definedName>
    <definedName name="ExternalData_825" localSheetId="0">TBM_GP!$D$2:$E$156</definedName>
    <definedName name="ExternalData_826" localSheetId="0">TBM_GP!#REF!</definedName>
    <definedName name="ExternalData_827" localSheetId="0">TBM_GP!$D$2:$E$156</definedName>
    <definedName name="ExternalData_828" localSheetId="0">TBM_GP!#REF!</definedName>
    <definedName name="ExternalData_829" localSheetId="0">TBM_GP!$D$2:$E$156</definedName>
    <definedName name="ExternalData_83" localSheetId="0">TBM_GP!#REF!</definedName>
    <definedName name="ExternalData_830" localSheetId="0">TBM_GP!#REF!</definedName>
    <definedName name="ExternalData_831" localSheetId="0">TBM_GP!$D$2:$E$156</definedName>
    <definedName name="ExternalData_832" localSheetId="0">TBM_GP!#REF!</definedName>
    <definedName name="ExternalData_833" localSheetId="0">TBM_GP!$D$2:$E$156</definedName>
    <definedName name="ExternalData_834" localSheetId="0">TBM_GP!#REF!</definedName>
    <definedName name="ExternalData_835" localSheetId="0">TBM_GP!$D$2:$E$156</definedName>
    <definedName name="ExternalData_837" localSheetId="0">TBM_GP!#REF!</definedName>
    <definedName name="ExternalData_838" localSheetId="0">TBM_GP!$D$2:$E$156</definedName>
    <definedName name="ExternalData_839" localSheetId="0">TBM_GP!#REF!</definedName>
    <definedName name="ExternalData_84" localSheetId="0">TBM_GP!#REF!</definedName>
    <definedName name="ExternalData_840" localSheetId="0">TBM_GP!$D$2:$E$156</definedName>
    <definedName name="ExternalData_841" localSheetId="0">TBM_GP!#REF!</definedName>
    <definedName name="ExternalData_842" localSheetId="0">TBM_GP!$D$2:$E$156</definedName>
    <definedName name="ExternalData_843" localSheetId="0">TBM_GP!#REF!</definedName>
    <definedName name="ExternalData_844" localSheetId="0">TBM_GP!$D$2:$E$156</definedName>
    <definedName name="ExternalData_845" localSheetId="0">TBM_GP!#REF!</definedName>
    <definedName name="ExternalData_847" localSheetId="0">TBM_GP!#REF!</definedName>
    <definedName name="ExternalData_848" localSheetId="0">TBM_GP!$D$2:$E$156</definedName>
    <definedName name="ExternalData_849" localSheetId="0">TBM_GP!#REF!</definedName>
    <definedName name="ExternalData_85" localSheetId="0">TBM_GP!#REF!</definedName>
    <definedName name="ExternalData_850" localSheetId="0">TBM_GP!$D$2:$E$156</definedName>
    <definedName name="ExternalData_851" localSheetId="0">TBM_GP!#REF!</definedName>
    <definedName name="ExternalData_852" localSheetId="0">TBM_GP!$D$2:$E$156</definedName>
    <definedName name="ExternalData_853" localSheetId="0">TBM_GP!#REF!</definedName>
    <definedName name="ExternalData_854" localSheetId="0">TBM_GP!$D$2:$E$156</definedName>
    <definedName name="ExternalData_855" localSheetId="0">TBM_GP!#REF!</definedName>
    <definedName name="ExternalData_856" localSheetId="0">TBM_GP!$D$2:$E$156</definedName>
    <definedName name="ExternalData_857" localSheetId="0">TBM_GP!#REF!</definedName>
    <definedName name="ExternalData_858" localSheetId="0">TBM_GP!$D$2:$E$156</definedName>
    <definedName name="ExternalData_859" localSheetId="0">TBM_GP!#REF!</definedName>
    <definedName name="ExternalData_86" localSheetId="0">TBM_GP!#REF!</definedName>
    <definedName name="ExternalData_860" localSheetId="0">TBM_GP!$D$2:$E$156</definedName>
    <definedName name="ExternalData_861" localSheetId="0">TBM_GP!#REF!</definedName>
    <definedName name="ExternalData_862" localSheetId="0">TBM_GP!$D$2:$E$156</definedName>
    <definedName name="ExternalData_863" localSheetId="0">TBM_GP!#REF!</definedName>
    <definedName name="ExternalData_864" localSheetId="0">TBM_GP!$D$2:$E$156</definedName>
    <definedName name="ExternalData_865" localSheetId="0">TBM_GP!#REF!</definedName>
    <definedName name="ExternalData_866" localSheetId="0">TBM_GP!$D$2:$E$156</definedName>
    <definedName name="ExternalData_867" localSheetId="0">TBM_GP!#REF!</definedName>
    <definedName name="ExternalData_868" localSheetId="0">TBM_GP!$D$2:$E$156</definedName>
    <definedName name="ExternalData_869" localSheetId="0">TBM_GP!#REF!</definedName>
    <definedName name="ExternalData_87" localSheetId="0">TBM_GP!#REF!</definedName>
    <definedName name="ExternalData_870" localSheetId="0">TBM_GP!$D$2:$E$156</definedName>
    <definedName name="ExternalData_871" localSheetId="0">TBM_GP!#REF!</definedName>
    <definedName name="ExternalData_872" localSheetId="0">TBM_GP!$D$2:$E$156</definedName>
    <definedName name="ExternalData_873" localSheetId="0">TBM_GP!#REF!</definedName>
    <definedName name="ExternalData_874" localSheetId="0">TBM_GP!$D$2:$E$156</definedName>
    <definedName name="ExternalData_875" localSheetId="0">TBM_GP!#REF!</definedName>
    <definedName name="ExternalData_876" localSheetId="0">TBM_GP!$D$2:$E$156</definedName>
    <definedName name="ExternalData_877" localSheetId="0">TBM_GP!#REF!</definedName>
    <definedName name="ExternalData_878" localSheetId="0">TBM_GP!$D$2:$E$156</definedName>
    <definedName name="ExternalData_879" localSheetId="0">TBM_GP!#REF!</definedName>
    <definedName name="ExternalData_88" localSheetId="0">TBM_GP!#REF!</definedName>
    <definedName name="ExternalData_880" localSheetId="0">TBM_GP!$D$2:$E$156</definedName>
    <definedName name="ExternalData_881" localSheetId="0">TBM_GP!#REF!</definedName>
    <definedName name="ExternalData_882" localSheetId="0">TBM_GP!$D$2:$E$156</definedName>
    <definedName name="ExternalData_883" localSheetId="0">TBM_GP!#REF!</definedName>
    <definedName name="ExternalData_884" localSheetId="0">TBM_GP!$D$2:$E$156</definedName>
    <definedName name="ExternalData_885" localSheetId="0">TBM_GP!#REF!</definedName>
    <definedName name="ExternalData_886" localSheetId="0">TBM_GP!$D$2:$E$156</definedName>
    <definedName name="ExternalData_887" localSheetId="0">TBM_GP!#REF!</definedName>
    <definedName name="ExternalData_888" localSheetId="0">TBM_GP!$D$2:$E$156</definedName>
    <definedName name="ExternalData_889" localSheetId="0">TBM_GP!#REF!</definedName>
    <definedName name="ExternalData_89" localSheetId="0">TBM_GP!#REF!</definedName>
    <definedName name="ExternalData_890" localSheetId="0">TBM_GP!$D$2:$E$156</definedName>
    <definedName name="ExternalData_891" localSheetId="0">TBM_GP!#REF!</definedName>
    <definedName name="ExternalData_892" localSheetId="0">TBM_GP!$D$2:$E$156</definedName>
    <definedName name="ExternalData_893" localSheetId="0">TBM_GP!#REF!</definedName>
    <definedName name="ExternalData_894" localSheetId="0">TBM_GP!$D$2:$E$156</definedName>
    <definedName name="ExternalData_895" localSheetId="0">TBM_GP!#REF!</definedName>
    <definedName name="ExternalData_896" localSheetId="0">TBM_GP!$D$2:$E$156</definedName>
    <definedName name="ExternalData_897" localSheetId="0">TBM_GP!#REF!</definedName>
    <definedName name="ExternalData_898" localSheetId="0">TBM_GP!$D$2:$E$156</definedName>
    <definedName name="ExternalData_899" localSheetId="0">TBM_GP!#REF!</definedName>
    <definedName name="ExternalData_90" localSheetId="0">TBM_GP!#REF!</definedName>
    <definedName name="ExternalData_900" localSheetId="0">TBM_GP!$D$2:$E$156</definedName>
    <definedName name="ExternalData_901" localSheetId="0">TBM_GP!#REF!</definedName>
    <definedName name="ExternalData_902" localSheetId="0">TBM_GP!$D$2:$E$156</definedName>
    <definedName name="ExternalData_903" localSheetId="0">TBM_GP!#REF!</definedName>
    <definedName name="ExternalData_904" localSheetId="0">TBM_GP!$D$2:$E$156</definedName>
    <definedName name="ExternalData_905" localSheetId="0">TBM_GP!#REF!</definedName>
    <definedName name="ExternalData_906" localSheetId="0">TBM_GP!$D$2:$E$156</definedName>
    <definedName name="ExternalData_907" localSheetId="0">TBM_GP!#REF!</definedName>
    <definedName name="ExternalData_908" localSheetId="0">TBM_GP!$D$2:$E$156</definedName>
    <definedName name="ExternalData_909" localSheetId="0">TBM_GP!#REF!</definedName>
    <definedName name="ExternalData_91" localSheetId="0">TBM_GP!#REF!</definedName>
    <definedName name="ExternalData_910" localSheetId="0">TBM_GP!$D$2:$E$156</definedName>
    <definedName name="ExternalData_911" localSheetId="0">TBM_GP!#REF!</definedName>
    <definedName name="ExternalData_912" localSheetId="0">TBM_GP!$D$2:$E$156</definedName>
    <definedName name="ExternalData_913" localSheetId="0">TBM_GP!#REF!</definedName>
    <definedName name="ExternalData_914" localSheetId="0">TBM_GP!$D$2:$E$156</definedName>
    <definedName name="ExternalData_915" localSheetId="0">TBM_GP!#REF!</definedName>
    <definedName name="ExternalData_916" localSheetId="0">TBM_GP!$D$2:$E$156</definedName>
    <definedName name="ExternalData_917" localSheetId="0">TBM_GP!#REF!</definedName>
    <definedName name="ExternalData_918" localSheetId="0">TBM_GP!$D$2:$E$156</definedName>
    <definedName name="ExternalData_919" localSheetId="0">TBM_GP!#REF!</definedName>
    <definedName name="ExternalData_92" localSheetId="0">TBM_GP!#REF!</definedName>
    <definedName name="ExternalData_920" localSheetId="0">TBM_GP!$D$2:$E$156</definedName>
    <definedName name="ExternalData_921" localSheetId="0">TBM_GP!#REF!</definedName>
    <definedName name="ExternalData_922" localSheetId="0">TBM_GP!$D$2:$E$156</definedName>
    <definedName name="ExternalData_923" localSheetId="0">TBM_GP!#REF!</definedName>
    <definedName name="ExternalData_924" localSheetId="0">TBM_GP!$D$2:$E$156</definedName>
    <definedName name="ExternalData_925" localSheetId="0">TBM_GP!#REF!</definedName>
    <definedName name="ExternalData_926" localSheetId="0">TBM_GP!$D$2:$E$156</definedName>
    <definedName name="ExternalData_927" localSheetId="0">TBM_GP!#REF!</definedName>
    <definedName name="ExternalData_928" localSheetId="0">TBM_GP!$D$2:$E$156</definedName>
    <definedName name="ExternalData_929" localSheetId="0">TBM_GP!#REF!</definedName>
    <definedName name="ExternalData_93" localSheetId="0">TBM_GP!#REF!</definedName>
    <definedName name="ExternalData_930" localSheetId="0">TBM_GP!$D$2:$E$156</definedName>
    <definedName name="ExternalData_931" localSheetId="0">TBM_GP!#REF!</definedName>
    <definedName name="ExternalData_932" localSheetId="0">TBM_GP!$D$2:$E$156</definedName>
    <definedName name="ExternalData_933" localSheetId="0">TBM_GP!#REF!</definedName>
    <definedName name="ExternalData_934" localSheetId="0">TBM_GP!$D$2:$E$156</definedName>
    <definedName name="ExternalData_935" localSheetId="0">TBM_GP!#REF!</definedName>
    <definedName name="ExternalData_936" localSheetId="0">TBM_GP!$D$2:$E$156</definedName>
    <definedName name="ExternalData_937" localSheetId="0">TBM_GP!#REF!</definedName>
    <definedName name="ExternalData_938" localSheetId="0">TBM_GP!$D$2:$E$156</definedName>
    <definedName name="ExternalData_939" localSheetId="0">TBM_GP!#REF!</definedName>
    <definedName name="ExternalData_94" localSheetId="0">TBM_GP!#REF!</definedName>
    <definedName name="ExternalData_940" localSheetId="0">TBM_GP!$D$2:$E$156</definedName>
    <definedName name="ExternalData_941" localSheetId="0">TBM_GP!#REF!</definedName>
    <definedName name="ExternalData_942" localSheetId="0">TBM_GP!$D$2:$E$156</definedName>
    <definedName name="ExternalData_943" localSheetId="0">TBM_GP!#REF!</definedName>
    <definedName name="ExternalData_944" localSheetId="0">TBM_GP!$D$2:$E$156</definedName>
    <definedName name="ExternalData_945" localSheetId="0">TBM_GP!#REF!</definedName>
    <definedName name="ExternalData_946" localSheetId="0">TBM_GP!$D$2:$E$156</definedName>
    <definedName name="ExternalData_947" localSheetId="0">TBM_GP!#REF!</definedName>
    <definedName name="ExternalData_948" localSheetId="0">TBM_GP!$D$2:$E$156</definedName>
    <definedName name="ExternalData_949" localSheetId="0">TBM_GP!#REF!</definedName>
    <definedName name="ExternalData_95" localSheetId="0">TBM_GP!#REF!</definedName>
    <definedName name="ExternalData_950" localSheetId="0">TBM_GP!$D$2:$E$156</definedName>
    <definedName name="ExternalData_951" localSheetId="0">TBM_GP!#REF!</definedName>
    <definedName name="ExternalData_952" localSheetId="0">TBM_GP!$D$2:$E$156</definedName>
    <definedName name="ExternalData_953" localSheetId="0">TBM_GP!#REF!</definedName>
    <definedName name="ExternalData_954" localSheetId="0">TBM_GP!$D$2:$E$156</definedName>
    <definedName name="ExternalData_955" localSheetId="0">TBM_GP!#REF!</definedName>
    <definedName name="ExternalData_956" localSheetId="0">TBM_GP!$D$2:$E$156</definedName>
    <definedName name="ExternalData_957" localSheetId="0">TBM_GP!#REF!</definedName>
    <definedName name="ExternalData_958" localSheetId="0">TBM_GP!$D$2:$E$156</definedName>
    <definedName name="ExternalData_959" localSheetId="0">TBM_GP!#REF!</definedName>
    <definedName name="ExternalData_96" localSheetId="0">TBM_GP!#REF!</definedName>
    <definedName name="ExternalData_960" localSheetId="0">TBM_GP!$D$2:$E$156</definedName>
    <definedName name="ExternalData_961" localSheetId="0">TBM_GP!#REF!</definedName>
    <definedName name="ExternalData_962" localSheetId="0">TBM_GP!$D$2:$E$156</definedName>
    <definedName name="ExternalData_963" localSheetId="0">TBM_GP!#REF!</definedName>
    <definedName name="ExternalData_964" localSheetId="0">TBM_GP!$D$2:$E$156</definedName>
    <definedName name="ExternalData_965" localSheetId="0">TBM_GP!#REF!</definedName>
    <definedName name="ExternalData_966" localSheetId="0">TBM_GP!$D$2:$E$156</definedName>
    <definedName name="ExternalData_967" localSheetId="0">TBM_GP!#REF!</definedName>
    <definedName name="ExternalData_968" localSheetId="0">TBM_GP!$D$2:$E$156</definedName>
    <definedName name="ExternalData_969" localSheetId="0">TBM_GP!#REF!</definedName>
    <definedName name="ExternalData_970" localSheetId="0">TBM_GP!$D$2:$E$156</definedName>
    <definedName name="ExternalData_971" localSheetId="0">TBM_GP!#REF!</definedName>
    <definedName name="ExternalData_972" localSheetId="0">TBM_GP!$D$2:$E$156</definedName>
    <definedName name="ExternalData_973" localSheetId="0">TBM_GP!#REF!</definedName>
    <definedName name="ExternalData_974" localSheetId="0">TBM_GP!$D$2:$E$156</definedName>
    <definedName name="ExternalData_975" localSheetId="0">TBM_GP!#REF!</definedName>
    <definedName name="ExternalData_976" localSheetId="0">TBM_GP!$D$2:$E$156</definedName>
    <definedName name="ExternalData_977" localSheetId="0">TBM_GP!#REF!</definedName>
    <definedName name="ExternalData_978" localSheetId="0">TBM_GP!$D$2:$E$156</definedName>
    <definedName name="ExternalData_979" localSheetId="0">TBM_GP!#REF!</definedName>
    <definedName name="ExternalData_98" localSheetId="0">TBM_GP!#REF!</definedName>
    <definedName name="ExternalData_980" localSheetId="0">TBM_GP!$D$2:$E$156</definedName>
    <definedName name="ExternalData_981" localSheetId="0">TBM_GP!#REF!</definedName>
    <definedName name="ExternalData_982" localSheetId="0">TBM_GP!$D$2:$E$156</definedName>
    <definedName name="ExternalData_983" localSheetId="0">TBM_GP!#REF!</definedName>
    <definedName name="ExternalData_984" localSheetId="0">TBM_GP!$D$2:$E$156</definedName>
    <definedName name="ExternalData_985" localSheetId="0">TBM_GP!#REF!</definedName>
    <definedName name="ExternalData_986" localSheetId="0">TBM_GP!$D$2:$E$156</definedName>
    <definedName name="ExternalData_987" localSheetId="0">TBM_GP!#REF!</definedName>
    <definedName name="ExternalData_988" localSheetId="0">TBM_GP!$D$2:$E$156</definedName>
    <definedName name="ExternalData_989" localSheetId="0">TBM_GP!#REF!</definedName>
    <definedName name="ExternalData_990" localSheetId="0">TBM_GP!$D$2:$E$156</definedName>
    <definedName name="ExternalData_991" localSheetId="0">TBM_GP!#REF!</definedName>
    <definedName name="ExternalData_992" localSheetId="0">TBM_GP!$D$2:$E$156</definedName>
    <definedName name="ExternalData_993" localSheetId="0">TBM_GP!#REF!</definedName>
    <definedName name="ExternalData_994" localSheetId="0">TBM_GP!$D$2:$E$156</definedName>
    <definedName name="ExternalData_995" localSheetId="0">TBM_GP!#REF!</definedName>
    <definedName name="ExternalData_996" localSheetId="0">TBM_GP!$D$2:$E$156</definedName>
    <definedName name="ExternalData_997" localSheetId="0">TBM_GP!#REF!</definedName>
    <definedName name="ExternalData_998" localSheetId="0">TBM_GP!$D$2:$E$156</definedName>
    <definedName name="ExternalData_999" localSheetId="0">TBM_GP!#REF!</definedName>
    <definedName name="_xlnm.Print_Area" localSheetId="0">TBM_GP!$A$1:$AD$15</definedName>
  </definedNames>
  <calcPr calcId="171027" refMode="R1C1" iterate="1"/>
</workbook>
</file>

<file path=xl/calcChain.xml><?xml version="1.0" encoding="utf-8"?>
<calcChain xmlns="http://schemas.openxmlformats.org/spreadsheetml/2006/main">
  <c r="AD14" i="5" l="1"/>
  <c r="AD13" i="5"/>
  <c r="AD12" i="5"/>
  <c r="AD11" i="5"/>
  <c r="AD10" i="5"/>
  <c r="AD9" i="5"/>
  <c r="AD8" i="5"/>
  <c r="AD7" i="5"/>
  <c r="AD6" i="5"/>
  <c r="AD5" i="5"/>
  <c r="AD4" i="5"/>
  <c r="AD3" i="5"/>
  <c r="AD2" i="5"/>
  <c r="B10" i="5" l="1"/>
  <c r="A21" i="5" l="1"/>
  <c r="B14" i="5"/>
  <c r="A20" i="5"/>
  <c r="T6" i="5" l="1"/>
  <c r="Q3" i="5" l="1"/>
  <c r="AB14" i="5" l="1"/>
  <c r="AA13" i="5"/>
  <c r="Z12" i="5"/>
  <c r="Y11" i="5"/>
  <c r="X10" i="5"/>
  <c r="W9" i="5"/>
  <c r="V8" i="5"/>
  <c r="U7" i="5"/>
  <c r="S5" i="5"/>
  <c r="R4" i="5"/>
  <c r="K2" i="5" l="1"/>
  <c r="H3" i="5" l="1"/>
  <c r="I2" i="5"/>
  <c r="H4" i="5" l="1"/>
  <c r="K4" i="5" s="1"/>
  <c r="K3" i="5"/>
  <c r="J2" i="5"/>
  <c r="L2" i="5"/>
  <c r="I3" i="5"/>
  <c r="L3" i="5" l="1"/>
  <c r="I4" i="5"/>
  <c r="Q2" i="5"/>
  <c r="H5" i="5"/>
  <c r="H6" i="5" s="1"/>
  <c r="J3" i="5"/>
  <c r="L4" i="5" l="1"/>
  <c r="J4" i="5"/>
  <c r="R3" i="5"/>
  <c r="R2" i="5" s="1"/>
  <c r="Q4" i="5"/>
  <c r="I5" i="5"/>
  <c r="K6" i="5"/>
  <c r="H7" i="5"/>
  <c r="K7" i="5" s="1"/>
  <c r="I6" i="5"/>
  <c r="K5" i="5"/>
  <c r="J5" i="5" l="1"/>
  <c r="J6" i="5"/>
  <c r="T5" i="5"/>
  <c r="T4" i="5" s="1"/>
  <c r="T3" i="5" s="1"/>
  <c r="T2" i="5" s="1"/>
  <c r="S6" i="5"/>
  <c r="S4" i="5"/>
  <c r="S3" i="5" s="1"/>
  <c r="S2" i="5" s="1"/>
  <c r="R5" i="5"/>
  <c r="R6" i="5" s="1"/>
  <c r="Q5" i="5"/>
  <c r="Q6" i="5" s="1"/>
  <c r="L5" i="5"/>
  <c r="L6" i="5"/>
  <c r="I7" i="5"/>
  <c r="H8" i="5"/>
  <c r="K8" i="5" s="1"/>
  <c r="L7" i="5" l="1"/>
  <c r="S7" i="5"/>
  <c r="Q7" i="5"/>
  <c r="R7" i="5"/>
  <c r="U6" i="5"/>
  <c r="U5" i="5" s="1"/>
  <c r="U4" i="5" s="1"/>
  <c r="U3" i="5" s="1"/>
  <c r="U2" i="5" s="1"/>
  <c r="I8" i="5"/>
  <c r="H9" i="5"/>
  <c r="K9" i="5" s="1"/>
  <c r="J7" i="5"/>
  <c r="L8" i="5" l="1"/>
  <c r="Q8" i="5"/>
  <c r="V7" i="5"/>
  <c r="V6" i="5" s="1"/>
  <c r="V5" i="5" s="1"/>
  <c r="V4" i="5" s="1"/>
  <c r="V3" i="5" s="1"/>
  <c r="V2" i="5" s="1"/>
  <c r="U8" i="5"/>
  <c r="R8" i="5"/>
  <c r="S8" i="5"/>
  <c r="I9" i="5"/>
  <c r="H10" i="5"/>
  <c r="K10" i="5" s="1"/>
  <c r="J8" i="5"/>
  <c r="J9" i="5" l="1"/>
  <c r="S9" i="5"/>
  <c r="Q9" i="5"/>
  <c r="R9" i="5"/>
  <c r="V9" i="5"/>
  <c r="U9" i="5"/>
  <c r="W8" i="5"/>
  <c r="W7" i="5" s="1"/>
  <c r="W6" i="5" s="1"/>
  <c r="W5" i="5" s="1"/>
  <c r="W4" i="5" s="1"/>
  <c r="W3" i="5" s="1"/>
  <c r="W2" i="5" s="1"/>
  <c r="L9" i="5"/>
  <c r="H11" i="5"/>
  <c r="K11" i="5" s="1"/>
  <c r="I10" i="5"/>
  <c r="X9" i="5" l="1"/>
  <c r="X8" i="5" s="1"/>
  <c r="X7" i="5" s="1"/>
  <c r="X6" i="5" s="1"/>
  <c r="X5" i="5" s="1"/>
  <c r="X4" i="5" s="1"/>
  <c r="X3" i="5" s="1"/>
  <c r="X2" i="5" s="1"/>
  <c r="V10" i="5"/>
  <c r="U10" i="5"/>
  <c r="R10" i="5"/>
  <c r="W10" i="5"/>
  <c r="Q10" i="5"/>
  <c r="S10" i="5"/>
  <c r="I11" i="5"/>
  <c r="H12" i="5"/>
  <c r="K12" i="5" s="1"/>
  <c r="L10" i="5"/>
  <c r="J10" i="5"/>
  <c r="L11" i="5" l="1"/>
  <c r="W11" i="5"/>
  <c r="X11" i="5"/>
  <c r="S11" i="5"/>
  <c r="R11" i="5"/>
  <c r="Q11" i="5"/>
  <c r="U11" i="5"/>
  <c r="Y10" i="5"/>
  <c r="Y9" i="5" s="1"/>
  <c r="Y8" i="5" s="1"/>
  <c r="Y7" i="5" s="1"/>
  <c r="Y6" i="5" s="1"/>
  <c r="Y5" i="5" s="1"/>
  <c r="Y4" i="5" s="1"/>
  <c r="Y3" i="5" s="1"/>
  <c r="Y2" i="5" s="1"/>
  <c r="V11" i="5"/>
  <c r="H13" i="5"/>
  <c r="K13" i="5" s="1"/>
  <c r="I12" i="5"/>
  <c r="J11" i="5"/>
  <c r="S12" i="5" l="1"/>
  <c r="U12" i="5"/>
  <c r="R12" i="5"/>
  <c r="W12" i="5"/>
  <c r="Q12" i="5"/>
  <c r="L12" i="5"/>
  <c r="V12" i="5"/>
  <c r="Z11" i="5"/>
  <c r="Z10" i="5" s="1"/>
  <c r="Z9" i="5" s="1"/>
  <c r="Z8" i="5" s="1"/>
  <c r="Z7" i="5" s="1"/>
  <c r="Z6" i="5" s="1"/>
  <c r="Z5" i="5" s="1"/>
  <c r="Z4" i="5" s="1"/>
  <c r="Z3" i="5" s="1"/>
  <c r="Z2" i="5" s="1"/>
  <c r="X12" i="5"/>
  <c r="Y12" i="5"/>
  <c r="I13" i="5"/>
  <c r="H14" i="5"/>
  <c r="K14" i="5" s="1"/>
  <c r="J12" i="5"/>
  <c r="L13" i="5" l="1"/>
  <c r="I14" i="5"/>
  <c r="S13" i="5"/>
  <c r="AA12" i="5"/>
  <c r="AA11" i="5" s="1"/>
  <c r="AA10" i="5" s="1"/>
  <c r="AA9" i="5" s="1"/>
  <c r="AA8" i="5" s="1"/>
  <c r="AA7" i="5" s="1"/>
  <c r="AA6" i="5" s="1"/>
  <c r="AA5" i="5" s="1"/>
  <c r="AA4" i="5" s="1"/>
  <c r="AA3" i="5" s="1"/>
  <c r="AA2" i="5" s="1"/>
  <c r="J13" i="5"/>
  <c r="Y13" i="5"/>
  <c r="R13" i="5"/>
  <c r="X13" i="5"/>
  <c r="Q13" i="5"/>
  <c r="U13" i="5"/>
  <c r="U14" i="5" s="1"/>
  <c r="W13" i="5"/>
  <c r="V13" i="5"/>
  <c r="Z13" i="5"/>
  <c r="J14" i="5"/>
  <c r="P2" i="5"/>
  <c r="P3" i="5" s="1"/>
  <c r="T7" i="5"/>
  <c r="P4" i="5" l="1"/>
  <c r="AB13" i="5"/>
  <c r="AB12" i="5" s="1"/>
  <c r="AB11" i="5" s="1"/>
  <c r="AB10" i="5" s="1"/>
  <c r="AB9" i="5" s="1"/>
  <c r="AB8" i="5" s="1"/>
  <c r="AB7" i="5" s="1"/>
  <c r="AB6" i="5" s="1"/>
  <c r="AB5" i="5" s="1"/>
  <c r="AB4" i="5" s="1"/>
  <c r="AB3" i="5" s="1"/>
  <c r="AB2" i="5" s="1"/>
  <c r="O2" i="5" s="1"/>
  <c r="Y14" i="5"/>
  <c r="V14" i="5"/>
  <c r="W14" i="5"/>
  <c r="R14" i="5"/>
  <c r="S14" i="5"/>
  <c r="L14" i="5"/>
  <c r="AA14" i="5"/>
  <c r="Q14" i="5"/>
  <c r="Z14" i="5"/>
  <c r="X14" i="5"/>
  <c r="T8" i="5"/>
  <c r="O3" i="5" l="1"/>
  <c r="P5" i="5"/>
  <c r="O4" i="5"/>
  <c r="AC4" i="5" s="1"/>
  <c r="T9" i="5"/>
  <c r="P6" i="5" l="1"/>
  <c r="O5" i="5"/>
  <c r="AC5" i="5" s="1"/>
  <c r="AC2" i="5"/>
  <c r="AC3" i="5"/>
  <c r="T10" i="5"/>
  <c r="P7" i="5" l="1"/>
  <c r="O6" i="5"/>
  <c r="AC6" i="5" s="1"/>
  <c r="T11" i="5"/>
  <c r="P8" i="5" l="1"/>
  <c r="O7" i="5"/>
  <c r="AC7" i="5" s="1"/>
  <c r="T12" i="5"/>
  <c r="P9" i="5" l="1"/>
  <c r="O8" i="5"/>
  <c r="AC8" i="5" s="1"/>
  <c r="T13" i="5"/>
  <c r="P10" i="5" l="1"/>
  <c r="O9" i="5"/>
  <c r="AC9" i="5" s="1"/>
  <c r="T14" i="5"/>
  <c r="P11" i="5" l="1"/>
  <c r="O10" i="5"/>
  <c r="AC10" i="5" s="1"/>
  <c r="P12" i="5" l="1"/>
  <c r="O11" i="5"/>
  <c r="AC11" i="5" s="1"/>
  <c r="P13" i="5" l="1"/>
  <c r="O12" i="5"/>
  <c r="AC12" i="5" s="1"/>
  <c r="O13" i="5" l="1"/>
  <c r="AC13" i="5" s="1"/>
  <c r="P14" i="5"/>
  <c r="O14" i="5" s="1"/>
  <c r="B15" i="5" l="1"/>
  <c r="AC14" i="5"/>
  <c r="B13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urface" type="6" refreshedVersion="0" background="1" saveData="1">
    <textPr prompt="0" sourceFile="F:\OneDrive\Tiago\UGent\07. THESIS\surface.txt">
      <textFields>
        <textField/>
      </textFields>
    </textPr>
  </connection>
  <connection id="2" xr16:uid="{00000000-0015-0000-FFFF-FFFF01000000}" name="surface1" type="6" refreshedVersion="0" background="1" saveData="1">
    <textPr prompt="0" sourceFile="F:\OneDrive\Tiago\UGent\07. THESIS\surface.txt">
      <textFields>
        <textField/>
      </textFields>
    </textPr>
  </connection>
  <connection id="3" xr16:uid="{00000000-0015-0000-FFFF-FFFF02000000}" name="surface10" type="6" refreshedVersion="0" deleted="1" background="1" saveData="1">
    <textPr prompt="0" sourceFile="F:\OneDrive\Tiago\UGent\zFlex_consol\surface.txt">
      <textFields>
        <textField/>
      </textFields>
    </textPr>
  </connection>
  <connection id="4" xr16:uid="{00000000-0015-0000-FFFF-FFFF03000000}" name="surface100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5" xr16:uid="{00000000-0015-0000-FFFF-FFFF04000000}" name="surface101" type="6" refreshedVersion="0" deleted="1" background="1" saveData="1">
    <textPr prompt="0" sourceFile="F:\OneDrive\Tiago\UGent\zFlex_consol\surface.txt">
      <textFields>
        <textField/>
      </textFields>
    </textPr>
  </connection>
  <connection id="6" xr16:uid="{00000000-0015-0000-FFFF-FFFF05000000}" name="surface102" type="6" refreshedVersion="0" deleted="1" background="1" saveData="1">
    <textPr prompt="0" sourceFile="F:\OneDrive\Tiago\UGent\zFlex_consol\surface.txt">
      <textFields>
        <textField/>
      </textFields>
    </textPr>
  </connection>
  <connection id="7" xr16:uid="{00000000-0015-0000-FFFF-FFFF06000000}" name="surface103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8" xr16:uid="{00000000-0015-0000-FFFF-FFFF07000000}" name="surface104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9" xr16:uid="{00000000-0015-0000-FFFF-FFFF08000000}" name="surface105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0" xr16:uid="{00000000-0015-0000-FFFF-FFFF09000000}" name="surface106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1" xr16:uid="{00000000-0015-0000-FFFF-FFFF0A000000}" name="surface107" type="6" refreshedVersion="0" deleted="1" background="1" saveData="1">
    <textPr prompt="0" sourceFile="F:\OneDrive\Tiago\UGent\zFlex_consol\surface.txt">
      <textFields>
        <textField/>
      </textFields>
    </textPr>
  </connection>
  <connection id="12" xr16:uid="{00000000-0015-0000-FFFF-FFFF0B000000}" name="surface108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3" xr16:uid="{00000000-0015-0000-FFFF-FFFF0C000000}" name="surface109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4" xr16:uid="{00000000-0015-0000-FFFF-FFFF0D000000}" name="surface11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5" xr16:uid="{00000000-0015-0000-FFFF-FFFF0E000000}" name="surface110" type="6" refreshedVersion="0" deleted="1" background="1" saveData="1">
    <textPr prompt="0" sourceFile="F:\OneDrive\Tiago\UGent\zFlex_consol\surface.txt">
      <textFields>
        <textField/>
      </textFields>
    </textPr>
  </connection>
  <connection id="16" xr16:uid="{00000000-0015-0000-FFFF-FFFF0F000000}" name="surface111" type="6" refreshedVersion="0" deleted="1" background="1" saveData="1">
    <textPr prompt="0" sourceFile="F:\OneDrive\Tiago\UGent\zFlex_consol\surface.txt">
      <textFields>
        <textField/>
      </textFields>
    </textPr>
  </connection>
  <connection id="17" xr16:uid="{00000000-0015-0000-FFFF-FFFF10000000}" name="surface112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8" xr16:uid="{00000000-0015-0000-FFFF-FFFF11000000}" name="surface113" type="6" refreshedVersion="0" deleted="1" background="1" saveData="1">
    <textPr prompt="0" sourceFile="F:\OneDrive\Tiago\UGent\zFlex_consol\surface.txt">
      <textFields>
        <textField/>
      </textFields>
    </textPr>
  </connection>
  <connection id="19" xr16:uid="{00000000-0015-0000-FFFF-FFFF12000000}" name="surface114" type="6" refreshedVersion="0" deleted="1" background="1" saveData="1">
    <textPr prompt="0" sourceFile="F:\OneDrive\Tiago\UGent\zFlex_consol\surface.txt">
      <textFields>
        <textField/>
      </textFields>
    </textPr>
  </connection>
  <connection id="20" xr16:uid="{00000000-0015-0000-FFFF-FFFF13000000}" name="surface115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21" xr16:uid="{00000000-0015-0000-FFFF-FFFF14000000}" name="surface116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22" xr16:uid="{00000000-0015-0000-FFFF-FFFF15000000}" name="surface117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23" xr16:uid="{00000000-0015-0000-FFFF-FFFF16000000}" name="surface118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24" xr16:uid="{00000000-0015-0000-FFFF-FFFF17000000}" name="surface119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25" xr16:uid="{00000000-0015-0000-FFFF-FFFF18000000}" name="surface12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26" xr16:uid="{00000000-0015-0000-FFFF-FFFF19000000}" name="surface120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27" xr16:uid="{00000000-0015-0000-FFFF-FFFF1A000000}" name="surface121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28" xr16:uid="{00000000-0015-0000-FFFF-FFFF1B000000}" name="surface122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29" xr16:uid="{00000000-0015-0000-FFFF-FFFF1C000000}" name="surface123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30" xr16:uid="{00000000-0015-0000-FFFF-FFFF1D000000}" name="surface124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31" xr16:uid="{00000000-0015-0000-FFFF-FFFF1E000000}" name="surface125" type="6" refreshedVersion="0" deleted="1" background="1" saveData="1">
    <textPr prompt="0" sourceFile="F:\OneDrive\Tiago\UGent\zFlex_consol\surface.txt">
      <textFields>
        <textField/>
      </textFields>
    </textPr>
  </connection>
  <connection id="32" xr16:uid="{00000000-0015-0000-FFFF-FFFF1F000000}" name="surface126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33" xr16:uid="{00000000-0015-0000-FFFF-FFFF20000000}" name="surface127" type="6" refreshedVersion="0" deleted="1" background="1" saveData="1">
    <textPr prompt="0" sourceFile="F:\OneDrive\Tiago\UGent\zFlex_consol\surface.txt">
      <textFields>
        <textField/>
      </textFields>
    </textPr>
  </connection>
  <connection id="34" xr16:uid="{00000000-0015-0000-FFFF-FFFF21000000}" name="surface128" type="6" refreshedVersion="0" deleted="1" background="1" saveData="1">
    <textPr prompt="0" sourceFile="F:\OneDrive\Tiago\UGent\zFlex_consol\surface.txt">
      <textFields>
        <textField/>
      </textFields>
    </textPr>
  </connection>
  <connection id="35" xr16:uid="{00000000-0015-0000-FFFF-FFFF22000000}" name="surface129" type="6" refreshedVersion="0" deleted="1" background="1" saveData="1">
    <textPr prompt="0" sourceFile="F:\OneDrive\Tiago\UGent\zFlex_consol\surface.txt">
      <textFields>
        <textField/>
      </textFields>
    </textPr>
  </connection>
  <connection id="36" xr16:uid="{00000000-0015-0000-FFFF-FFFF23000000}" name="surface13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37" xr16:uid="{00000000-0015-0000-FFFF-FFFF24000000}" name="surface130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38" xr16:uid="{00000000-0015-0000-FFFF-FFFF25000000}" name="surface131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39" xr16:uid="{00000000-0015-0000-FFFF-FFFF26000000}" name="surface132" type="6" refreshedVersion="0" deleted="1" background="1" saveData="1">
    <textPr prompt="0" sourceFile="F:\OneDrive\Tiago\UGent\zFlex_consol\surface.txt">
      <textFields>
        <textField/>
      </textFields>
    </textPr>
  </connection>
  <connection id="40" xr16:uid="{00000000-0015-0000-FFFF-FFFF27000000}" name="surface133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41" xr16:uid="{00000000-0015-0000-FFFF-FFFF28000000}" name="surface134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42" xr16:uid="{00000000-0015-0000-FFFF-FFFF29000000}" name="surface135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43" xr16:uid="{00000000-0015-0000-FFFF-FFFF2A000000}" name="surface136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44" xr16:uid="{00000000-0015-0000-FFFF-FFFF2B000000}" name="surface137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45" xr16:uid="{00000000-0015-0000-FFFF-FFFF2C000000}" name="surface138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46" xr16:uid="{00000000-0015-0000-FFFF-FFFF2D000000}" name="surface139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47" xr16:uid="{00000000-0015-0000-FFFF-FFFF2E000000}" name="surface14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48" xr16:uid="{00000000-0015-0000-FFFF-FFFF2F000000}" name="surface140" type="6" refreshedVersion="0" deleted="1" background="1" saveData="1">
    <textPr prompt="0" sourceFile="F:\OneDrive\Tiago\UGent\zFlex_consol\surface.txt">
      <textFields>
        <textField/>
      </textFields>
    </textPr>
  </connection>
  <connection id="49" xr16:uid="{00000000-0015-0000-FFFF-FFFF30000000}" name="surface141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50" xr16:uid="{00000000-0015-0000-FFFF-FFFF31000000}" name="surface142" type="6" refreshedVersion="6" deleted="1" background="1" saveData="1">
    <textPr prompt="0" firstRow="9" sourceFile="F:\OneDrive\Tiago\UGent\zGrout_Pressure_Plaxis\surface.txt">
      <textFields>
        <textField/>
      </textFields>
    </textPr>
  </connection>
  <connection id="51" xr16:uid="{00000000-0015-0000-FFFF-FFFF32000000}" name="surface145" type="6" refreshedVersion="6" deleted="1" background="1" saveData="1">
    <textPr prompt="0" firstRow="9" sourceFile="F:\OneDrive\Tiago\UGent\zGrout_Pressure_Plaxis\surface.txt">
      <textFields>
        <textField/>
      </textFields>
    </textPr>
  </connection>
  <connection id="52" xr16:uid="{00000000-0015-0000-FFFF-FFFF33000000}" name="surface15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53" xr16:uid="{00000000-0015-0000-FFFF-FFFF34000000}" name="surface16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54" xr16:uid="{00000000-0015-0000-FFFF-FFFF35000000}" name="surface17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55" xr16:uid="{00000000-0015-0000-FFFF-FFFF36000000}" name="surface18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56" xr16:uid="{00000000-0015-0000-FFFF-FFFF37000000}" name="surface19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57" xr16:uid="{00000000-0015-0000-FFFF-FFFF38000000}" name="surface2" type="6" refreshedVersion="0" background="1" saveData="1">
    <textPr prompt="0" sourceFile="F:\OneDrive\Tiago\UGent\07. THESIS\surface.txt">
      <textFields>
        <textField/>
      </textFields>
    </textPr>
  </connection>
  <connection id="58" xr16:uid="{00000000-0015-0000-FFFF-FFFF39000000}" name="surface20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59" xr16:uid="{00000000-0015-0000-FFFF-FFFF3A000000}" name="surface21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60" xr16:uid="{00000000-0015-0000-FFFF-FFFF3B000000}" name="surface22" type="6" refreshedVersion="0" deleted="1" background="1" saveData="1">
    <textPr prompt="0" sourceFile="F:\OneDrive\Tiago\UGent\zFlex_consol\surface.txt">
      <textFields>
        <textField/>
      </textFields>
    </textPr>
  </connection>
  <connection id="61" xr16:uid="{00000000-0015-0000-FFFF-FFFF3C000000}" name="surface23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62" xr16:uid="{00000000-0015-0000-FFFF-FFFF3D000000}" name="surface24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63" xr16:uid="{00000000-0015-0000-FFFF-FFFF3E000000}" name="surface25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64" xr16:uid="{00000000-0015-0000-FFFF-FFFF3F000000}" name="surface26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65" xr16:uid="{00000000-0015-0000-FFFF-FFFF40000000}" name="surface27" type="6" refreshedVersion="0" deleted="1" background="1" saveData="1">
    <textPr prompt="0" sourceFile="F:\OneDrive\Tiago\UGent\zFlex_consol\surface.txt">
      <textFields>
        <textField/>
      </textFields>
    </textPr>
  </connection>
  <connection id="66" xr16:uid="{00000000-0015-0000-FFFF-FFFF41000000}" name="surface28" type="6" refreshedVersion="0" deleted="1" background="1" saveData="1">
    <textPr prompt="0" sourceFile="F:\OneDrive\Tiago\UGent\zFlex_consol\surface.txt">
      <textFields>
        <textField/>
      </textFields>
    </textPr>
  </connection>
  <connection id="67" xr16:uid="{00000000-0015-0000-FFFF-FFFF42000000}" name="surface29" type="6" refreshedVersion="0" deleted="1" background="1" saveData="1">
    <textPr prompt="0" sourceFile="F:\OneDrive\Tiago\UGent\zFlex_consol\surface.txt">
      <textFields>
        <textField/>
      </textFields>
    </textPr>
  </connection>
  <connection id="68" xr16:uid="{00000000-0015-0000-FFFF-FFFF43000000}" name="surface3" type="6" refreshedVersion="0" background="1" saveData="1">
    <textPr prompt="0" sourceFile="F:\OneDrive\Tiago\UGent\07. THESIS\surface.txt">
      <textFields>
        <textField/>
      </textFields>
    </textPr>
  </connection>
  <connection id="69" xr16:uid="{00000000-0015-0000-FFFF-FFFF44000000}" name="surface30" type="6" refreshedVersion="0" deleted="1" background="1" saveData="1">
    <textPr prompt="0" sourceFile="F:\OneDrive\Tiago\UGent\zFlex_consol\surface.txt">
      <textFields>
        <textField/>
      </textFields>
    </textPr>
  </connection>
  <connection id="70" xr16:uid="{00000000-0015-0000-FFFF-FFFF45000000}" name="surface31" type="6" refreshedVersion="0" deleted="1" background="1" saveData="1">
    <textPr prompt="0" sourceFile="F:\OneDrive\Tiago\UGent\zFlex_consol\surface.txt">
      <textFields>
        <textField/>
      </textFields>
    </textPr>
  </connection>
  <connection id="71" xr16:uid="{00000000-0015-0000-FFFF-FFFF46000000}" name="surface32" type="6" refreshedVersion="0" deleted="1" background="1" saveData="1">
    <textPr prompt="0" sourceFile="F:\OneDrive\Tiago\UGent\07. THESIS\surface.txt">
      <textFields>
        <textField/>
      </textFields>
    </textPr>
  </connection>
  <connection id="72" xr16:uid="{00000000-0015-0000-FFFF-FFFF47000000}" name="surface33" type="6" refreshedVersion="0" deleted="1" background="1" saveData="1">
    <textPr prompt="0" sourceFile="F:\OneDrive\Tiago\UGent\07. THESIS\surface.txt">
      <textFields>
        <textField/>
      </textFields>
    </textPr>
  </connection>
  <connection id="73" xr16:uid="{00000000-0015-0000-FFFF-FFFF48000000}" name="surface34" type="6" refreshedVersion="0" deleted="1" background="1" saveData="1">
    <textPr prompt="0" sourceFile="F:\OneDrive\Tiago\UGent\07. THESIS\surface.txt">
      <textFields>
        <textField/>
      </textFields>
    </textPr>
  </connection>
  <connection id="74" xr16:uid="{00000000-0015-0000-FFFF-FFFF49000000}" name="surface35" type="6" refreshedVersion="0" deleted="1" background="1" saveData="1">
    <textPr prompt="0" sourceFile="F:\OneDrive\Tiago\UGent\07. THESIS\surface.txt">
      <textFields>
        <textField/>
      </textFields>
    </textPr>
  </connection>
  <connection id="75" xr16:uid="{00000000-0015-0000-FFFF-FFFF4A000000}" name="surface36" type="6" refreshedVersion="0" deleted="1" background="1" saveData="1">
    <textPr prompt="0" sourceFile="F:\OneDrive\Tiago\UGent\07. THESIS\surface.txt">
      <textFields>
        <textField/>
      </textFields>
    </textPr>
  </connection>
  <connection id="76" xr16:uid="{00000000-0015-0000-FFFF-FFFF4B000000}" name="surface37" type="6" refreshedVersion="0" deleted="1" background="1" saveData="1">
    <textPr prompt="0" sourceFile="F:\OneDrive\Tiago\UGent\07. THESIS\surface.txt">
      <textFields>
        <textField/>
      </textFields>
    </textPr>
  </connection>
  <connection id="77" xr16:uid="{00000000-0015-0000-FFFF-FFFF4C000000}" name="surface38" type="6" refreshedVersion="0" deleted="1" background="1" saveData="1">
    <textPr prompt="0" sourceFile="F:\OneDrive\Tiago\UGent\07. THESIS\surface.txt">
      <textFields>
        <textField/>
      </textFields>
    </textPr>
  </connection>
  <connection id="78" xr16:uid="{00000000-0015-0000-FFFF-FFFF4D000000}" name="surface39" type="6" refreshedVersion="0" deleted="1" background="1" saveData="1">
    <textPr prompt="0" sourceFile="F:\OneDrive\Tiago\UGent\07. THESIS\surface.txt">
      <textFields>
        <textField/>
      </textFields>
    </textPr>
  </connection>
  <connection id="79" xr16:uid="{00000000-0015-0000-FFFF-FFFF4E000000}" name="surface4" type="6" refreshedVersion="0" background="1" saveData="1">
    <textPr prompt="0" sourceFile="F:\OneDrive\Tiago\UGent\07. THESIS\surface.txt">
      <textFields>
        <textField/>
      </textFields>
    </textPr>
  </connection>
  <connection id="80" xr16:uid="{00000000-0015-0000-FFFF-FFFF4F000000}" name="surface40" type="6" refreshedVersion="0" deleted="1" background="1" saveData="1">
    <textPr prompt="0" sourceFile="F:\OneDrive\Tiago\UGent\07. THESIS\surface.txt">
      <textFields>
        <textField/>
      </textFields>
    </textPr>
  </connection>
  <connection id="81" xr16:uid="{00000000-0015-0000-FFFF-FFFF50000000}" name="surface41" type="6" refreshedVersion="0" deleted="1" background="1" saveData="1">
    <textPr prompt="0" sourceFile="F:\OneDrive\Tiago\UGent\07. THESIS\surface.txt">
      <textFields>
        <textField/>
      </textFields>
    </textPr>
  </connection>
  <connection id="82" xr16:uid="{00000000-0015-0000-FFFF-FFFF51000000}" name="surface42" type="6" refreshedVersion="0" deleted="1" background="1" saveData="1">
    <textPr prompt="0" sourceFile="F:\OneDrive\Tiago\UGent\07. THESIS\surface.txt">
      <textFields>
        <textField/>
      </textFields>
    </textPr>
  </connection>
  <connection id="83" xr16:uid="{00000000-0015-0000-FFFF-FFFF52000000}" name="surface43" type="6" refreshedVersion="0" deleted="1" background="1" saveData="1">
    <textPr prompt="0" sourceFile="F:\OneDrive\Tiago\UGent\07. THESIS\surface.txt">
      <textFields>
        <textField/>
      </textFields>
    </textPr>
  </connection>
  <connection id="84" xr16:uid="{00000000-0015-0000-FFFF-FFFF53000000}" name="surface44" type="6" refreshedVersion="0" deleted="1" background="1" saveData="1">
    <textPr prompt="0" sourceFile="F:\OneDrive\Tiago\UGent\07. THESIS\surface.txt">
      <textFields>
        <textField/>
      </textFields>
    </textPr>
  </connection>
  <connection id="85" xr16:uid="{00000000-0015-0000-FFFF-FFFF54000000}" name="surface45" type="6" refreshedVersion="0" deleted="1" background="1" saveData="1">
    <textPr prompt="0" sourceFile="F:\OneDrive\Tiago\UGent\07. THESIS\surface.txt">
      <textFields>
        <textField/>
      </textFields>
    </textPr>
  </connection>
  <connection id="86" xr16:uid="{00000000-0015-0000-FFFF-FFFF55000000}" name="surface46" type="6" refreshedVersion="0" deleted="1" background="1" saveData="1">
    <textPr prompt="0" sourceFile="F:\OneDrive\Tiago\UGent\07. THESIS\surface.txt">
      <textFields>
        <textField/>
      </textFields>
    </textPr>
  </connection>
  <connection id="87" xr16:uid="{00000000-0015-0000-FFFF-FFFF56000000}" name="surface47" type="6" refreshedVersion="0" deleted="1" background="1" saveData="1">
    <textPr prompt="0" sourceFile="F:\OneDrive\Tiago\UGent\07. THESIS\surface.txt">
      <textFields>
        <textField/>
      </textFields>
    </textPr>
  </connection>
  <connection id="88" xr16:uid="{00000000-0015-0000-FFFF-FFFF57000000}" name="surface48" type="6" refreshedVersion="0" deleted="1" background="1" saveData="1">
    <textPr prompt="0" sourceFile="F:\OneDrive\Tiago\UGent\07. THESIS\surface.txt">
      <textFields>
        <textField/>
      </textFields>
    </textPr>
  </connection>
  <connection id="89" xr16:uid="{00000000-0015-0000-FFFF-FFFF58000000}" name="surface49" type="6" refreshedVersion="0" deleted="1" background="1" saveData="1">
    <textPr prompt="0" sourceFile="F:\OneDrive\Tiago\UGent\07. THESIS\surface.txt">
      <textFields>
        <textField/>
      </textFields>
    </textPr>
  </connection>
  <connection id="90" xr16:uid="{00000000-0015-0000-FFFF-FFFF59000000}" name="surface5" type="6" refreshedVersion="0" background="1" saveData="1">
    <textPr prompt="0" sourceFile="F:\OneDrive\Tiago\UGent\07. THESIS\surface.txt">
      <textFields>
        <textField/>
      </textFields>
    </textPr>
  </connection>
  <connection id="91" xr16:uid="{00000000-0015-0000-FFFF-FFFF5A000000}" name="surface50" type="6" refreshedVersion="0" deleted="1" background="1" saveData="1">
    <textPr prompt="0" sourceFile="F:\OneDrive\Tiago\UGent\07. THESIS\surface.txt">
      <textFields>
        <textField/>
      </textFields>
    </textPr>
  </connection>
  <connection id="92" xr16:uid="{00000000-0015-0000-FFFF-FFFF5B000000}" name="surface51" type="6" refreshedVersion="0" deleted="1" background="1" saveData="1">
    <textPr prompt="0" sourceFile="F:\OneDrive\Tiago\UGent\07. THESIS\surface.txt">
      <textFields>
        <textField/>
      </textFields>
    </textPr>
  </connection>
  <connection id="93" xr16:uid="{00000000-0015-0000-FFFF-FFFF5C000000}" name="surface52" type="6" refreshedVersion="0" deleted="1" background="1" saveData="1">
    <textPr prompt="0" sourceFile="F:\OneDrive\Tiago\UGent\07. THESIS\surface.txt">
      <textFields>
        <textField/>
      </textFields>
    </textPr>
  </connection>
  <connection id="94" xr16:uid="{00000000-0015-0000-FFFF-FFFF5D000000}" name="surface53" type="6" refreshedVersion="0" deleted="1" background="1" saveData="1">
    <textPr prompt="0" sourceFile="F:\OneDrive\Tiago\UGent\07. THESIS\surface.txt">
      <textFields>
        <textField/>
      </textFields>
    </textPr>
  </connection>
  <connection id="95" xr16:uid="{00000000-0015-0000-FFFF-FFFF5E000000}" name="surface54" type="6" refreshedVersion="0" deleted="1" background="1" saveData="1">
    <textPr prompt="0" sourceFile="F:\OneDrive\Tiago\UGent\07. THESIS\surface.txt">
      <textFields>
        <textField/>
      </textFields>
    </textPr>
  </connection>
  <connection id="96" xr16:uid="{00000000-0015-0000-FFFF-FFFF5F000000}" name="surface55" type="6" refreshedVersion="0" deleted="1" background="1" saveData="1">
    <textPr prompt="0" sourceFile="F:\OneDrive\Tiago\UGent\zFlex_consol\surface.txt">
      <textFields>
        <textField/>
      </textFields>
    </textPr>
  </connection>
  <connection id="97" xr16:uid="{00000000-0015-0000-FFFF-FFFF60000000}" name="surface56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98" xr16:uid="{00000000-0015-0000-FFFF-FFFF61000000}" name="surface57" type="6" refreshedVersion="0" deleted="1" background="1" saveData="1">
    <textPr prompt="0" sourceFile="F:\OneDrive\Tiago\UGent\zFlex_consol\surface.txt">
      <textFields>
        <textField/>
      </textFields>
    </textPr>
  </connection>
  <connection id="99" xr16:uid="{00000000-0015-0000-FFFF-FFFF62000000}" name="surface58" type="6" refreshedVersion="0" deleted="1" background="1" saveData="1">
    <textPr prompt="0" sourceFile="F:\OneDrive\Tiago\UGent\07. THESIS\surface.txt">
      <textFields>
        <textField/>
      </textFields>
    </textPr>
  </connection>
  <connection id="100" xr16:uid="{00000000-0015-0000-FFFF-FFFF63000000}" name="surface59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01" xr16:uid="{00000000-0015-0000-FFFF-FFFF64000000}" name="surface6" type="6" refreshedVersion="0" background="1" saveData="1">
    <textPr prompt="0" sourceFile="F:\OneDrive\Tiago\UGent\07. THESIS\surface.txt">
      <textFields>
        <textField/>
      </textFields>
    </textPr>
  </connection>
  <connection id="102" xr16:uid="{00000000-0015-0000-FFFF-FFFF65000000}" name="surface60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03" xr16:uid="{00000000-0015-0000-FFFF-FFFF66000000}" name="surface61" type="6" refreshedVersion="0" deleted="1" background="1" saveData="1">
    <textPr prompt="0" sourceFile="F:\OneDrive\Tiago\UGent\zFlex_consol\surface.txt">
      <textFields>
        <textField/>
      </textFields>
    </textPr>
  </connection>
  <connection id="104" xr16:uid="{00000000-0015-0000-FFFF-FFFF67000000}" name="surface62" type="6" refreshedVersion="0" deleted="1" background="1" saveData="1">
    <textPr prompt="0" sourceFile="F:\OneDrive\Tiago\UGent\zFlex_consol\surface.txt">
      <textFields>
        <textField/>
      </textFields>
    </textPr>
  </connection>
  <connection id="105" xr16:uid="{00000000-0015-0000-FFFF-FFFF68000000}" name="surface63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06" xr16:uid="{00000000-0015-0000-FFFF-FFFF69000000}" name="surface64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07" xr16:uid="{00000000-0015-0000-FFFF-FFFF6A000000}" name="surface65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08" xr16:uid="{00000000-0015-0000-FFFF-FFFF6B000000}" name="surface66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09" xr16:uid="{00000000-0015-0000-FFFF-FFFF6C000000}" name="surface67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10" xr16:uid="{00000000-0015-0000-FFFF-FFFF6D000000}" name="surface68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11" xr16:uid="{00000000-0015-0000-FFFF-FFFF6E000000}" name="surface69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12" xr16:uid="{00000000-0015-0000-FFFF-FFFF6F000000}" name="surface7" type="6" refreshedVersion="0" background="1" saveData="1">
    <textPr prompt="0" sourceFile="F:\OneDrive\Tiago\UGent\07. THESIS\Codes\surface.txt">
      <textFields>
        <textField/>
      </textFields>
    </textPr>
  </connection>
  <connection id="113" xr16:uid="{00000000-0015-0000-FFFF-FFFF70000000}" name="surface70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14" xr16:uid="{00000000-0015-0000-FFFF-FFFF71000000}" name="surface71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15" xr16:uid="{00000000-0015-0000-FFFF-FFFF72000000}" name="surface72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16" xr16:uid="{00000000-0015-0000-FFFF-FFFF73000000}" name="surface73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17" xr16:uid="{00000000-0015-0000-FFFF-FFFF74000000}" name="surface74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18" xr16:uid="{00000000-0015-0000-FFFF-FFFF75000000}" name="surface75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19" xr16:uid="{00000000-0015-0000-FFFF-FFFF76000000}" name="surface76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20" xr16:uid="{00000000-0015-0000-FFFF-FFFF77000000}" name="surface77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21" xr16:uid="{00000000-0015-0000-FFFF-FFFF78000000}" name="surface78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22" xr16:uid="{00000000-0015-0000-FFFF-FFFF79000000}" name="surface79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23" xr16:uid="{00000000-0015-0000-FFFF-FFFF7A000000}" name="surface8" type="6" refreshedVersion="0" deleted="1" background="1" saveData="1">
    <textPr prompt="0" sourceFile="F:\OneDrive\Tiago\UGent\zFlex_consol\surface.txt">
      <textFields>
        <textField/>
      </textFields>
    </textPr>
  </connection>
  <connection id="124" xr16:uid="{00000000-0015-0000-FFFF-FFFF7B000000}" name="surface80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25" xr16:uid="{00000000-0015-0000-FFFF-FFFF7C000000}" name="surface81" type="6" refreshedVersion="0" deleted="1" background="1" saveData="1">
    <textPr prompt="0" sourceFile="F:\OneDrive\Tiago\UGent\zFlex_consol\surface.txt">
      <textFields>
        <textField/>
      </textFields>
    </textPr>
  </connection>
  <connection id="126" xr16:uid="{00000000-0015-0000-FFFF-FFFF7D000000}" name="surface82" type="6" refreshedVersion="0" deleted="1" background="1" saveData="1">
    <textPr prompt="0" sourceFile="F:\OneDrive\Tiago\UGent\zFlex_consol\surface.txt">
      <textFields>
        <textField/>
      </textFields>
    </textPr>
  </connection>
  <connection id="127" xr16:uid="{00000000-0015-0000-FFFF-FFFF7E000000}" name="surface83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28" xr16:uid="{00000000-0015-0000-FFFF-FFFF7F000000}" name="surface84" type="6" refreshedVersion="6" deleted="1" background="1" saveData="1">
    <textPr prompt="0" firstRow="9" sourceFile="F:\OneDrive\Tiago\UGent\zzConsol_forward\surface.txt">
      <textFields>
        <textField/>
      </textFields>
    </textPr>
  </connection>
  <connection id="129" xr16:uid="{00000000-0015-0000-FFFF-FFFF80000000}" name="surface85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30" xr16:uid="{00000000-0015-0000-FFFF-FFFF81000000}" name="surface86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31" xr16:uid="{00000000-0015-0000-FFFF-FFFF82000000}" name="surface87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32" xr16:uid="{00000000-0015-0000-FFFF-FFFF83000000}" name="surface88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33" xr16:uid="{00000000-0015-0000-FFFF-FFFF84000000}" name="surface89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34" xr16:uid="{00000000-0015-0000-FFFF-FFFF85000000}" name="surface9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35" xr16:uid="{00000000-0015-0000-FFFF-FFFF86000000}" name="surface90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36" xr16:uid="{00000000-0015-0000-FFFF-FFFF87000000}" name="surface91" type="6" refreshedVersion="6" deleted="1" background="1" saveData="1">
    <textPr prompt="0" firstRow="9" sourceFile="F:\OneDrive\Tiago\UGent\zFlex_consol\surface.txt">
      <textFields>
        <textField/>
      </textFields>
    </textPr>
  </connection>
  <connection id="137" xr16:uid="{00000000-0015-0000-FFFF-FFFF88000000}" name="surface92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38" xr16:uid="{00000000-0015-0000-FFFF-FFFF89000000}" name="surface93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39" xr16:uid="{00000000-0015-0000-FFFF-FFFF8A000000}" name="surface94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40" xr16:uid="{00000000-0015-0000-FFFF-FFFF8B000000}" name="surface95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41" xr16:uid="{00000000-0015-0000-FFFF-FFFF8C000000}" name="surface96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42" xr16:uid="{00000000-0015-0000-FFFF-FFFF8D000000}" name="surface97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43" xr16:uid="{00000000-0015-0000-FFFF-FFFF8E000000}" name="surface98" type="6" refreshedVersion="6" deleted="1" background="1" saveData="1">
    <textPr prompt="0" firstRow="9" sourceFile="C:\ONEDRIVE\Tiago\UGent\zzConsol_forward\surface.txt">
      <textFields>
        <textField/>
      </textFields>
    </textPr>
  </connection>
  <connection id="144" xr16:uid="{00000000-0015-0000-FFFF-FFFF8F000000}" name="surface99" type="6" refreshedVersion="6" deleted="1" background="1" saveData="1">
    <textPr prompt="0" firstRow="9" sourceFile="F:\OneDrive\Tiago\UGent\zFlex_consol\surface.txt">
      <textFields>
        <textField/>
      </textFields>
    </textPr>
  </connection>
</connections>
</file>

<file path=xl/sharedStrings.xml><?xml version="1.0" encoding="utf-8"?>
<sst xmlns="http://schemas.openxmlformats.org/spreadsheetml/2006/main" count="38" uniqueCount="30">
  <si>
    <t>Zt (m)</t>
  </si>
  <si>
    <t>θ</t>
  </si>
  <si>
    <t>H/D</t>
  </si>
  <si>
    <t>Point</t>
  </si>
  <si>
    <t>Volume Loss</t>
  </si>
  <si>
    <t>Rlin (m)</t>
  </si>
  <si>
    <t>H (m)</t>
  </si>
  <si>
    <t>GWL (m)</t>
  </si>
  <si>
    <t>E (MPa)</t>
  </si>
  <si>
    <t>L (m)</t>
  </si>
  <si>
    <t>Gap (cm)</t>
  </si>
  <si>
    <t>F (kN)</t>
  </si>
  <si>
    <t>-</t>
  </si>
  <si>
    <t>Rt (m)</t>
  </si>
  <si>
    <t>γw (kN/m³)</t>
  </si>
  <si>
    <t>v (mm)</t>
  </si>
  <si>
    <t>x (m)</t>
  </si>
  <si>
    <t>Inj. (kPa)</t>
  </si>
  <si>
    <t>GP (kPa)</t>
  </si>
  <si>
    <t>P0 (kPa)</t>
  </si>
  <si>
    <t>Net Force (kN)</t>
  </si>
  <si>
    <r>
      <t>τ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(kPa)</t>
    </r>
  </si>
  <si>
    <t>Avg. Grad (kN/m³)</t>
  </si>
  <si>
    <t>k0</t>
  </si>
  <si>
    <r>
      <rPr>
        <sz val="11"/>
        <color theme="1"/>
        <rFont val="Calibri"/>
        <family val="2"/>
      </rPr>
      <t>ν</t>
    </r>
    <r>
      <rPr>
        <sz val="11"/>
        <color theme="1"/>
        <rFont val="Calibri"/>
        <family val="2"/>
        <scheme val="minor"/>
      </rPr>
      <t xml:space="preserve"> (effective)</t>
    </r>
  </si>
  <si>
    <t>ν (undrained)</t>
  </si>
  <si>
    <t>γ grout (kN/m³)</t>
  </si>
  <si>
    <t>uw (kPa)</t>
  </si>
  <si>
    <t>γ ground (kN/m³)</t>
  </si>
  <si>
    <t>Initial 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</si>
</sst>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E+00"/>
    <numFmt numFmtId="166" formatCode="0.0000"/>
    <numFmt numFmtId="167" formatCode="0.000%"/>
  </numFmts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2">
    <xf numFmtId="0" fontId="0" fillId="0" borderId="0" xfId="0"/>
    <xf numFmtId="2" fontId="1" fillId="2" borderId="4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horizontal="center" vertical="center"/>
    </xf>
    <xf numFmtId="2" fontId="0" fillId="2" borderId="0" xfId="0" applyNumberFormat="1" applyFont="1" applyFill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0" fillId="2" borderId="0" xfId="0" applyNumberFormat="1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2" fontId="1" fillId="2" borderId="0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2" fontId="0" fillId="2" borderId="0" xfId="0" applyNumberFormat="1" applyFont="1" applyFill="1" applyAlignment="1">
      <alignment horizontal="center"/>
    </xf>
    <xf numFmtId="1" fontId="0" fillId="3" borderId="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1" fillId="3" borderId="0" xfId="0" applyNumberFormat="1" applyFont="1" applyFill="1" applyBorder="1" applyAlignment="1">
      <alignment horizontal="center" vertical="center"/>
    </xf>
    <xf numFmtId="2" fontId="1" fillId="3" borderId="4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2" fontId="0" fillId="2" borderId="4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165" fontId="4" fillId="2" borderId="0" xfId="0" applyNumberFormat="1" applyFont="1" applyFill="1" applyBorder="1" applyAlignment="1">
      <alignment horizontal="center" vertical="center"/>
    </xf>
    <xf numFmtId="164" fontId="5" fillId="2" borderId="0" xfId="0" applyNumberFormat="1" applyFont="1" applyFill="1" applyBorder="1" applyAlignment="1">
      <alignment horizontal="center" vertical="center"/>
    </xf>
    <xf numFmtId="1" fontId="0" fillId="2" borderId="9" xfId="0" applyNumberFormat="1" applyFont="1" applyFill="1" applyBorder="1" applyAlignment="1">
      <alignment horizontal="center" vertical="center"/>
    </xf>
    <xf numFmtId="1" fontId="0" fillId="3" borderId="4" xfId="0" applyNumberFormat="1" applyFont="1" applyFill="1" applyBorder="1" applyAlignment="1">
      <alignment horizontal="center" vertical="center"/>
    </xf>
    <xf numFmtId="1" fontId="0" fillId="2" borderId="4" xfId="0" applyNumberFormat="1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2" fontId="0" fillId="2" borderId="5" xfId="0" applyNumberFormat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left" vertical="center"/>
    </xf>
    <xf numFmtId="166" fontId="0" fillId="2" borderId="0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10" fontId="1" fillId="2" borderId="3" xfId="1" applyNumberFormat="1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6" xfId="0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2" borderId="7" xfId="0" applyFont="1" applyFill="1" applyBorder="1" applyAlignment="1">
      <alignment horizontal="center" vertical="center"/>
    </xf>
    <xf numFmtId="1" fontId="1" fillId="3" borderId="7" xfId="0" applyNumberFormat="1" applyFont="1" applyFill="1" applyBorder="1" applyAlignment="1">
      <alignment horizontal="center" vertical="center"/>
    </xf>
    <xf numFmtId="1" fontId="0" fillId="2" borderId="7" xfId="0" applyNumberFormat="1" applyFont="1" applyFill="1" applyBorder="1" applyAlignment="1">
      <alignment horizontal="center" vertical="center"/>
    </xf>
    <xf numFmtId="1" fontId="0" fillId="3" borderId="7" xfId="0" applyNumberFormat="1" applyFont="1" applyFill="1" applyBorder="1" applyAlignment="1">
      <alignment horizontal="center" vertical="center"/>
    </xf>
    <xf numFmtId="1" fontId="0" fillId="3" borderId="1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left" vertical="center"/>
    </xf>
    <xf numFmtId="1" fontId="0" fillId="3" borderId="5" xfId="0" applyNumberFormat="1" applyFont="1" applyFill="1" applyBorder="1" applyAlignment="1">
      <alignment horizontal="center"/>
    </xf>
    <xf numFmtId="167" fontId="3" fillId="2" borderId="0" xfId="1" applyNumberFormat="1" applyFont="1" applyFill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2" fontId="0" fillId="4" borderId="3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1" fontId="8" fillId="2" borderId="0" xfId="0" applyNumberFormat="1" applyFon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/>
    </xf>
    <xf numFmtId="0" fontId="0" fillId="2" borderId="2" xfId="0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425879629629629"/>
          <c:y val="3.5880555555555554E-2"/>
          <c:w val="0.70574907407407406"/>
          <c:h val="0.7756675925925924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TBM_GP!$O$1</c:f>
              <c:strCache>
                <c:ptCount val="1"/>
                <c:pt idx="0">
                  <c:v>GP (kPa)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TBM_GP!$O$2:$O$14</c:f>
              <c:numCache>
                <c:formatCode>0</c:formatCode>
                <c:ptCount val="13"/>
                <c:pt idx="0">
                  <c:v>400</c:v>
                </c:pt>
                <c:pt idx="1">
                  <c:v>398.3348193939616</c:v>
                </c:pt>
                <c:pt idx="2">
                  <c:v>403.40741903303206</c:v>
                </c:pt>
                <c:pt idx="3">
                  <c:v>414.63548127951003</c:v>
                </c:pt>
                <c:pt idx="4">
                  <c:v>430.95301065978089</c:v>
                </c:pt>
                <c:pt idx="5">
                  <c:v>450.89364887754044</c:v>
                </c:pt>
                <c:pt idx="6">
                  <c:v>472.71033736091812</c:v>
                </c:pt>
                <c:pt idx="7">
                  <c:v>494.51231794782831</c:v>
                </c:pt>
                <c:pt idx="8">
                  <c:v>514.40006989043002</c:v>
                </c:pt>
                <c:pt idx="9">
                  <c:v>530.60015149050014</c:v>
                </c:pt>
                <c:pt idx="10">
                  <c:v>541.60732985623474</c:v>
                </c:pt>
                <c:pt idx="11">
                  <c:v>546.3262060929186</c:v>
                </c:pt>
                <c:pt idx="12">
                  <c:v>544.20866460976742</c:v>
                </c:pt>
              </c:numCache>
            </c:numRef>
          </c:xVal>
          <c:yVal>
            <c:numRef>
              <c:f>TBM_GP!$J$2:$J$14</c:f>
              <c:numCache>
                <c:formatCode>0.00</c:formatCode>
                <c:ptCount val="13"/>
                <c:pt idx="0">
                  <c:v>1</c:v>
                </c:pt>
                <c:pt idx="1">
                  <c:v>0.9829629131445341</c:v>
                </c:pt>
                <c:pt idx="2">
                  <c:v>0.9330127018922193</c:v>
                </c:pt>
                <c:pt idx="3">
                  <c:v>0.85355339059327373</c:v>
                </c:pt>
                <c:pt idx="4">
                  <c:v>0.75</c:v>
                </c:pt>
                <c:pt idx="5">
                  <c:v>0.62940952255126037</c:v>
                </c:pt>
                <c:pt idx="6">
                  <c:v>0.5</c:v>
                </c:pt>
                <c:pt idx="7">
                  <c:v>0.37059047744873963</c:v>
                </c:pt>
                <c:pt idx="8">
                  <c:v>0.25</c:v>
                </c:pt>
                <c:pt idx="9">
                  <c:v>0.14644660940672627</c:v>
                </c:pt>
                <c:pt idx="10">
                  <c:v>6.6987298107780702E-2</c:v>
                </c:pt>
                <c:pt idx="11">
                  <c:v>1.7037086855465844E-2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9E-4D18-A1FB-49695509E695}"/>
            </c:ext>
          </c:extLst>
        </c:ser>
        <c:ser>
          <c:idx val="0"/>
          <c:order val="1"/>
          <c:tx>
            <c:strRef>
              <c:f>TBM_GP!$AD$1</c:f>
              <c:strCache>
                <c:ptCount val="1"/>
                <c:pt idx="0">
                  <c:v>P0 (kPa)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TBM_GP!$AD$2:$AD$14</c:f>
              <c:numCache>
                <c:formatCode>0</c:formatCode>
                <c:ptCount val="13"/>
                <c:pt idx="0">
                  <c:v>500</c:v>
                </c:pt>
                <c:pt idx="1">
                  <c:v>494.97694168681682</c:v>
                </c:pt>
                <c:pt idx="2">
                  <c:v>481.31011839520897</c:v>
                </c:pt>
                <c:pt idx="3">
                  <c:v>463.12815664617705</c:v>
                </c:pt>
                <c:pt idx="4">
                  <c:v>446.875</c:v>
                </c:pt>
                <c:pt idx="5">
                  <c:v>440.2032266202217</c:v>
                </c:pt>
                <c:pt idx="6">
                  <c:v>450</c:v>
                </c:pt>
                <c:pt idx="7">
                  <c:v>479.8929628121125</c:v>
                </c:pt>
                <c:pt idx="8">
                  <c:v>528.125</c:v>
                </c:pt>
                <c:pt idx="9">
                  <c:v>586.8718433538229</c:v>
                </c:pt>
                <c:pt idx="10">
                  <c:v>643.68988160479103</c:v>
                </c:pt>
                <c:pt idx="11">
                  <c:v>684.92686888084916</c:v>
                </c:pt>
                <c:pt idx="12">
                  <c:v>700</c:v>
                </c:pt>
              </c:numCache>
            </c:numRef>
          </c:xVal>
          <c:yVal>
            <c:numRef>
              <c:f>TBM_GP!$J$2:$J$14</c:f>
              <c:numCache>
                <c:formatCode>0.00</c:formatCode>
                <c:ptCount val="13"/>
                <c:pt idx="0">
                  <c:v>1</c:v>
                </c:pt>
                <c:pt idx="1">
                  <c:v>0.9829629131445341</c:v>
                </c:pt>
                <c:pt idx="2">
                  <c:v>0.9330127018922193</c:v>
                </c:pt>
                <c:pt idx="3">
                  <c:v>0.85355339059327373</c:v>
                </c:pt>
                <c:pt idx="4">
                  <c:v>0.75</c:v>
                </c:pt>
                <c:pt idx="5">
                  <c:v>0.62940952255126037</c:v>
                </c:pt>
                <c:pt idx="6">
                  <c:v>0.5</c:v>
                </c:pt>
                <c:pt idx="7">
                  <c:v>0.37059047744873963</c:v>
                </c:pt>
                <c:pt idx="8">
                  <c:v>0.25</c:v>
                </c:pt>
                <c:pt idx="9">
                  <c:v>0.14644660940672627</c:v>
                </c:pt>
                <c:pt idx="10">
                  <c:v>6.6987298107780702E-2</c:v>
                </c:pt>
                <c:pt idx="11">
                  <c:v>1.7037086855465844E-2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9E-4D18-A1FB-49695509E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01344"/>
        <c:axId val="173003136"/>
      </c:scatterChart>
      <c:valAx>
        <c:axId val="173001344"/>
        <c:scaling>
          <c:orientation val="minMax"/>
          <c:max val="8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Pressure (kPa)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73003136"/>
        <c:crosses val="autoZero"/>
        <c:crossBetween val="midCat"/>
      </c:valAx>
      <c:valAx>
        <c:axId val="173003136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Normalized Height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3001344"/>
        <c:crosses val="autoZero"/>
        <c:crossBetween val="midCat"/>
        <c:majorUnit val="0.2"/>
      </c:valAx>
      <c:spPr>
        <a:noFill/>
        <a:ln w="6350"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384248210023858E-2"/>
          <c:y val="0.19939814814814816"/>
          <c:w val="0.8760405727923628"/>
          <c:h val="0.76111990740740743"/>
        </c:manualLayout>
      </c:layout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TBM_GP!$D$2:$D$160</c:f>
              <c:numCache>
                <c:formatCode>0.00</c:formatCode>
                <c:ptCount val="159"/>
                <c:pt idx="0">
                  <c:v>-90</c:v>
                </c:pt>
                <c:pt idx="1">
                  <c:v>-88.868494572000003</c:v>
                </c:pt>
                <c:pt idx="2">
                  <c:v>-87.736989143000002</c:v>
                </c:pt>
                <c:pt idx="3">
                  <c:v>-86.605483715000005</c:v>
                </c:pt>
                <c:pt idx="4">
                  <c:v>-85.473978286999994</c:v>
                </c:pt>
                <c:pt idx="5">
                  <c:v>-84.342472857999994</c:v>
                </c:pt>
                <c:pt idx="6">
                  <c:v>-83.210967429999997</c:v>
                </c:pt>
                <c:pt idx="7">
                  <c:v>-82.079462002</c:v>
                </c:pt>
                <c:pt idx="8">
                  <c:v>-80.947956572999999</c:v>
                </c:pt>
                <c:pt idx="9">
                  <c:v>-79.816451145000002</c:v>
                </c:pt>
                <c:pt idx="10">
                  <c:v>-78.684945716000001</c:v>
                </c:pt>
                <c:pt idx="11">
                  <c:v>-77.553440288000004</c:v>
                </c:pt>
                <c:pt idx="12">
                  <c:v>-76.421934859999993</c:v>
                </c:pt>
                <c:pt idx="13">
                  <c:v>-75.290429431000007</c:v>
                </c:pt>
                <c:pt idx="14">
                  <c:v>-74.158924002999996</c:v>
                </c:pt>
                <c:pt idx="15">
                  <c:v>-73.027418574999999</c:v>
                </c:pt>
                <c:pt idx="16">
                  <c:v>-71.895913145999998</c:v>
                </c:pt>
                <c:pt idx="17">
                  <c:v>-70.764407718000001</c:v>
                </c:pt>
                <c:pt idx="18">
                  <c:v>-69.632902290000004</c:v>
                </c:pt>
                <c:pt idx="19">
                  <c:v>-68.501396861000003</c:v>
                </c:pt>
                <c:pt idx="20">
                  <c:v>-67.369891433000006</c:v>
                </c:pt>
                <c:pt idx="21">
                  <c:v>-66.238386004999995</c:v>
                </c:pt>
                <c:pt idx="22">
                  <c:v>-65.106880575999995</c:v>
                </c:pt>
                <c:pt idx="23">
                  <c:v>-63.975375147999998</c:v>
                </c:pt>
                <c:pt idx="24">
                  <c:v>-62.843869718999997</c:v>
                </c:pt>
                <c:pt idx="25">
                  <c:v>-61.712364291</c:v>
                </c:pt>
                <c:pt idx="26">
                  <c:v>-60.580858863000003</c:v>
                </c:pt>
                <c:pt idx="27">
                  <c:v>-59.449353434000002</c:v>
                </c:pt>
                <c:pt idx="28">
                  <c:v>-58.317848005999998</c:v>
                </c:pt>
                <c:pt idx="29">
                  <c:v>-57.186342578000001</c:v>
                </c:pt>
                <c:pt idx="30">
                  <c:v>-56.054837149000001</c:v>
                </c:pt>
                <c:pt idx="31">
                  <c:v>-54.923331720999997</c:v>
                </c:pt>
                <c:pt idx="32">
                  <c:v>-53.791826293</c:v>
                </c:pt>
                <c:pt idx="33">
                  <c:v>-52.687576131999997</c:v>
                </c:pt>
                <c:pt idx="34">
                  <c:v>-51.583325971999997</c:v>
                </c:pt>
                <c:pt idx="35">
                  <c:v>-50.479075811999998</c:v>
                </c:pt>
                <c:pt idx="36">
                  <c:v>-49.374825651999998</c:v>
                </c:pt>
                <c:pt idx="37">
                  <c:v>-48.270575491999999</c:v>
                </c:pt>
                <c:pt idx="38">
                  <c:v>-47.166325332</c:v>
                </c:pt>
                <c:pt idx="39">
                  <c:v>-46.062075170999996</c:v>
                </c:pt>
                <c:pt idx="40">
                  <c:v>-44.957825010999997</c:v>
                </c:pt>
                <c:pt idx="41">
                  <c:v>-43.853574850999998</c:v>
                </c:pt>
                <c:pt idx="42">
                  <c:v>-42.749324690999998</c:v>
                </c:pt>
                <c:pt idx="43">
                  <c:v>-41.645074530999999</c:v>
                </c:pt>
                <c:pt idx="44">
                  <c:v>-40.540824370999999</c:v>
                </c:pt>
                <c:pt idx="45">
                  <c:v>-39.436574210000003</c:v>
                </c:pt>
                <c:pt idx="46">
                  <c:v>-38.332324049999997</c:v>
                </c:pt>
                <c:pt idx="47">
                  <c:v>-37.228073889999997</c:v>
                </c:pt>
                <c:pt idx="48">
                  <c:v>-36.123823729999998</c:v>
                </c:pt>
                <c:pt idx="49">
                  <c:v>-34.346502817999998</c:v>
                </c:pt>
                <c:pt idx="50">
                  <c:v>-32.569181905000001</c:v>
                </c:pt>
                <c:pt idx="51">
                  <c:v>-30.791860993</c:v>
                </c:pt>
                <c:pt idx="52">
                  <c:v>-29.01454008</c:v>
                </c:pt>
                <c:pt idx="53">
                  <c:v>-27.237219167999999</c:v>
                </c:pt>
                <c:pt idx="54">
                  <c:v>-25.459898254999999</c:v>
                </c:pt>
                <c:pt idx="55">
                  <c:v>-23.682577342999998</c:v>
                </c:pt>
                <c:pt idx="56">
                  <c:v>-21.905256431000002</c:v>
                </c:pt>
                <c:pt idx="57">
                  <c:v>-20.458468540999998</c:v>
                </c:pt>
                <c:pt idx="58">
                  <c:v>-19.011680651999999</c:v>
                </c:pt>
                <c:pt idx="59">
                  <c:v>-17.564892763</c:v>
                </c:pt>
                <c:pt idx="60">
                  <c:v>-16.118104874</c:v>
                </c:pt>
                <c:pt idx="61">
                  <c:v>-14.671316985000001</c:v>
                </c:pt>
                <c:pt idx="62">
                  <c:v>-13.224529095999999</c:v>
                </c:pt>
                <c:pt idx="63">
                  <c:v>-11.777741207</c:v>
                </c:pt>
                <c:pt idx="64">
                  <c:v>-10.330953318000001</c:v>
                </c:pt>
                <c:pt idx="65">
                  <c:v>-9.0400031327000008</c:v>
                </c:pt>
                <c:pt idx="66">
                  <c:v>-7.7490529472</c:v>
                </c:pt>
                <c:pt idx="67">
                  <c:v>-6.4581027618000002</c:v>
                </c:pt>
                <c:pt idx="68">
                  <c:v>-5.1671525763000004</c:v>
                </c:pt>
                <c:pt idx="69">
                  <c:v>-3.8762023909000001</c:v>
                </c:pt>
                <c:pt idx="70">
                  <c:v>-2.5852522053999998</c:v>
                </c:pt>
                <c:pt idx="71">
                  <c:v>-1.2943020199999999</c:v>
                </c:pt>
                <c:pt idx="72">
                  <c:v>-3.3518345300000002E-3</c:v>
                </c:pt>
                <c:pt idx="73">
                  <c:v>1.2875532672000001</c:v>
                </c:pt>
                <c:pt idx="74">
                  <c:v>2.5784583688999998</c:v>
                </c:pt>
                <c:pt idx="75">
                  <c:v>3.8693634706000002</c:v>
                </c:pt>
                <c:pt idx="76">
                  <c:v>5.1602685722999997</c:v>
                </c:pt>
                <c:pt idx="77">
                  <c:v>6.4511736739999996</c:v>
                </c:pt>
                <c:pt idx="78">
                  <c:v>7.7420787756999996</c:v>
                </c:pt>
                <c:pt idx="79">
                  <c:v>9.0329838774999995</c:v>
                </c:pt>
                <c:pt idx="80">
                  <c:v>10.323888978999999</c:v>
                </c:pt>
                <c:pt idx="81">
                  <c:v>11.770514916</c:v>
                </c:pt>
                <c:pt idx="82">
                  <c:v>13.217140853</c:v>
                </c:pt>
                <c:pt idx="83">
                  <c:v>14.663766791</c:v>
                </c:pt>
                <c:pt idx="84">
                  <c:v>16.110392728000001</c:v>
                </c:pt>
                <c:pt idx="85">
                  <c:v>17.557018665000001</c:v>
                </c:pt>
                <c:pt idx="86">
                  <c:v>19.003644602000001</c:v>
                </c:pt>
                <c:pt idx="87">
                  <c:v>20.450270539000002</c:v>
                </c:pt>
                <c:pt idx="88">
                  <c:v>21.896896475999998</c:v>
                </c:pt>
                <c:pt idx="89">
                  <c:v>22.785405623999999</c:v>
                </c:pt>
                <c:pt idx="90">
                  <c:v>23.673914772</c:v>
                </c:pt>
                <c:pt idx="91">
                  <c:v>24.562423920000001</c:v>
                </c:pt>
                <c:pt idx="92">
                  <c:v>25.450933068000001</c:v>
                </c:pt>
                <c:pt idx="93">
                  <c:v>26.339442215999998</c:v>
                </c:pt>
                <c:pt idx="94">
                  <c:v>27.227951364999999</c:v>
                </c:pt>
                <c:pt idx="95">
                  <c:v>28.116460513</c:v>
                </c:pt>
                <c:pt idx="96">
                  <c:v>29.004969661000001</c:v>
                </c:pt>
                <c:pt idx="97">
                  <c:v>29.893478809000001</c:v>
                </c:pt>
                <c:pt idx="98">
                  <c:v>30.781987956999998</c:v>
                </c:pt>
                <c:pt idx="99">
                  <c:v>31.670497104999999</c:v>
                </c:pt>
                <c:pt idx="100">
                  <c:v>32.559006253</c:v>
                </c:pt>
                <c:pt idx="101">
                  <c:v>33.447515400999997</c:v>
                </c:pt>
                <c:pt idx="102">
                  <c:v>34.336024549000001</c:v>
                </c:pt>
                <c:pt idx="103">
                  <c:v>35.224533696999998</c:v>
                </c:pt>
                <c:pt idx="104">
                  <c:v>36.113042845000003</c:v>
                </c:pt>
                <c:pt idx="105">
                  <c:v>37.217216811</c:v>
                </c:pt>
                <c:pt idx="106">
                  <c:v>38.321390776000001</c:v>
                </c:pt>
                <c:pt idx="107">
                  <c:v>39.425564741000002</c:v>
                </c:pt>
                <c:pt idx="108">
                  <c:v>40.529738707</c:v>
                </c:pt>
                <c:pt idx="109">
                  <c:v>41.633912672000001</c:v>
                </c:pt>
                <c:pt idx="110">
                  <c:v>42.738086637999999</c:v>
                </c:pt>
                <c:pt idx="111">
                  <c:v>43.842260603</c:v>
                </c:pt>
                <c:pt idx="112">
                  <c:v>44.946434568999997</c:v>
                </c:pt>
                <c:pt idx="113">
                  <c:v>46.050608533999998</c:v>
                </c:pt>
                <c:pt idx="114">
                  <c:v>47.154782500000003</c:v>
                </c:pt>
                <c:pt idx="115">
                  <c:v>48.258956464999997</c:v>
                </c:pt>
                <c:pt idx="116">
                  <c:v>49.363130431000002</c:v>
                </c:pt>
                <c:pt idx="117">
                  <c:v>50.467304396000003</c:v>
                </c:pt>
                <c:pt idx="118">
                  <c:v>51.571478362000001</c:v>
                </c:pt>
                <c:pt idx="119">
                  <c:v>52.675652327000002</c:v>
                </c:pt>
                <c:pt idx="120">
                  <c:v>53.779826292999999</c:v>
                </c:pt>
                <c:pt idx="121">
                  <c:v>54.911331721000003</c:v>
                </c:pt>
                <c:pt idx="122">
                  <c:v>56.042837149</c:v>
                </c:pt>
                <c:pt idx="123">
                  <c:v>57.174342578000001</c:v>
                </c:pt>
                <c:pt idx="124">
                  <c:v>58.305848005999998</c:v>
                </c:pt>
                <c:pt idx="125">
                  <c:v>59.437353434000002</c:v>
                </c:pt>
                <c:pt idx="126">
                  <c:v>60.568858863000003</c:v>
                </c:pt>
                <c:pt idx="127">
                  <c:v>61.700364291</c:v>
                </c:pt>
                <c:pt idx="128">
                  <c:v>62.831869718999997</c:v>
                </c:pt>
                <c:pt idx="129">
                  <c:v>63.963375147999997</c:v>
                </c:pt>
                <c:pt idx="130">
                  <c:v>65.094880575999994</c:v>
                </c:pt>
                <c:pt idx="131">
                  <c:v>66.226386004999995</c:v>
                </c:pt>
                <c:pt idx="132">
                  <c:v>67.357891433000006</c:v>
                </c:pt>
                <c:pt idx="133">
                  <c:v>68.489396861000003</c:v>
                </c:pt>
                <c:pt idx="134">
                  <c:v>69.620902290000004</c:v>
                </c:pt>
                <c:pt idx="135">
                  <c:v>70.752407718000001</c:v>
                </c:pt>
                <c:pt idx="136">
                  <c:v>71.883913145999998</c:v>
                </c:pt>
                <c:pt idx="137">
                  <c:v>73.016168574999995</c:v>
                </c:pt>
                <c:pt idx="138">
                  <c:v>74.148424003000002</c:v>
                </c:pt>
                <c:pt idx="139">
                  <c:v>75.280679430999996</c:v>
                </c:pt>
                <c:pt idx="140">
                  <c:v>76.412934859999993</c:v>
                </c:pt>
                <c:pt idx="141">
                  <c:v>77.545190288000001</c:v>
                </c:pt>
                <c:pt idx="142">
                  <c:v>78.677445715999994</c:v>
                </c:pt>
                <c:pt idx="143">
                  <c:v>79.809701145000005</c:v>
                </c:pt>
                <c:pt idx="144">
                  <c:v>80.941956572999999</c:v>
                </c:pt>
                <c:pt idx="145">
                  <c:v>82.074212001999996</c:v>
                </c:pt>
                <c:pt idx="146">
                  <c:v>83.206467430000004</c:v>
                </c:pt>
                <c:pt idx="147">
                  <c:v>84.338722857999997</c:v>
                </c:pt>
                <c:pt idx="148">
                  <c:v>85.470978286999994</c:v>
                </c:pt>
                <c:pt idx="149">
                  <c:v>86.603233715000002</c:v>
                </c:pt>
                <c:pt idx="150">
                  <c:v>87.735489142999995</c:v>
                </c:pt>
                <c:pt idx="151">
                  <c:v>88.867744572000007</c:v>
                </c:pt>
                <c:pt idx="152">
                  <c:v>90</c:v>
                </c:pt>
              </c:numCache>
            </c:numRef>
          </c:xVal>
          <c:yVal>
            <c:numRef>
              <c:f>TBM_GP!$E$2:$E$160</c:f>
              <c:numCache>
                <c:formatCode>0.00</c:formatCode>
                <c:ptCount val="159"/>
                <c:pt idx="0">
                  <c:v>1.0808590906</c:v>
                </c:pt>
                <c:pt idx="1">
                  <c:v>1.0808304022999999</c:v>
                </c:pt>
                <c:pt idx="2">
                  <c:v>1.0823404285</c:v>
                </c:pt>
                <c:pt idx="3">
                  <c:v>1.0853891693</c:v>
                </c:pt>
                <c:pt idx="4">
                  <c:v>1.0899766246</c:v>
                </c:pt>
                <c:pt idx="5">
                  <c:v>1.0961027944999999</c:v>
                </c:pt>
                <c:pt idx="6">
                  <c:v>1.1037676787999999</c:v>
                </c:pt>
                <c:pt idx="7">
                  <c:v>1.1129712777</c:v>
                </c:pt>
                <c:pt idx="8">
                  <c:v>1.1237135912</c:v>
                </c:pt>
                <c:pt idx="9">
                  <c:v>1.1359946191000001</c:v>
                </c:pt>
                <c:pt idx="10">
                  <c:v>1.1498143616000001</c:v>
                </c:pt>
                <c:pt idx="11">
                  <c:v>1.1651728186999999</c:v>
                </c:pt>
                <c:pt idx="12">
                  <c:v>1.1820699902</c:v>
                </c:pt>
                <c:pt idx="13">
                  <c:v>1.2005058763000001</c:v>
                </c:pt>
                <c:pt idx="14">
                  <c:v>1.2204804768999999</c:v>
                </c:pt>
                <c:pt idx="15">
                  <c:v>1.2419937920999999</c:v>
                </c:pt>
                <c:pt idx="16">
                  <c:v>1.2650458218</c:v>
                </c:pt>
                <c:pt idx="17">
                  <c:v>1.2925814153999999</c:v>
                </c:pt>
                <c:pt idx="18">
                  <c:v>1.3207791017999999</c:v>
                </c:pt>
                <c:pt idx="19">
                  <c:v>1.3496388807999999</c:v>
                </c:pt>
                <c:pt idx="20">
                  <c:v>1.3791607525</c:v>
                </c:pt>
                <c:pt idx="21">
                  <c:v>1.4093447169</c:v>
                </c:pt>
                <c:pt idx="22">
                  <c:v>1.440190774</c:v>
                </c:pt>
                <c:pt idx="23">
                  <c:v>1.4716989238</c:v>
                </c:pt>
                <c:pt idx="24">
                  <c:v>1.5038691662000001</c:v>
                </c:pt>
                <c:pt idx="25">
                  <c:v>1.5367015014000001</c:v>
                </c:pt>
                <c:pt idx="26">
                  <c:v>1.5701959292000001</c:v>
                </c:pt>
                <c:pt idx="27">
                  <c:v>1.6043524496999999</c:v>
                </c:pt>
                <c:pt idx="28">
                  <c:v>1.6391710629</c:v>
                </c:pt>
                <c:pt idx="29">
                  <c:v>1.6746517687</c:v>
                </c:pt>
                <c:pt idx="30">
                  <c:v>1.7107945673</c:v>
                </c:pt>
                <c:pt idx="31">
                  <c:v>1.7475994585000001</c:v>
                </c:pt>
                <c:pt idx="32">
                  <c:v>1.7850664425</c:v>
                </c:pt>
                <c:pt idx="33">
                  <c:v>1.8260349221000001</c:v>
                </c:pt>
                <c:pt idx="34">
                  <c:v>1.8623436898000001</c:v>
                </c:pt>
                <c:pt idx="35">
                  <c:v>1.8939927454000001</c:v>
                </c:pt>
                <c:pt idx="36">
                  <c:v>1.9209820891</c:v>
                </c:pt>
                <c:pt idx="37">
                  <c:v>1.9433117206999999</c:v>
                </c:pt>
                <c:pt idx="38">
                  <c:v>1.9609816403</c:v>
                </c:pt>
                <c:pt idx="39">
                  <c:v>1.9739918478</c:v>
                </c:pt>
                <c:pt idx="40">
                  <c:v>1.9823423434</c:v>
                </c:pt>
                <c:pt idx="41">
                  <c:v>1.9860331269</c:v>
                </c:pt>
                <c:pt idx="42">
                  <c:v>1.9850641984999999</c:v>
                </c:pt>
                <c:pt idx="43">
                  <c:v>1.979435558</c:v>
                </c:pt>
                <c:pt idx="44">
                  <c:v>1.9691472055000001</c:v>
                </c:pt>
                <c:pt idx="45">
                  <c:v>1.9541991409999999</c:v>
                </c:pt>
                <c:pt idx="46">
                  <c:v>1.9345913643999999</c:v>
                </c:pt>
                <c:pt idx="47">
                  <c:v>1.9103238759000001</c:v>
                </c:pt>
                <c:pt idx="48">
                  <c:v>1.8813966753</c:v>
                </c:pt>
                <c:pt idx="49">
                  <c:v>1.8060960646999999</c:v>
                </c:pt>
                <c:pt idx="50">
                  <c:v>1.6794042566</c:v>
                </c:pt>
                <c:pt idx="51">
                  <c:v>1.5013212508</c:v>
                </c:pt>
                <c:pt idx="52">
                  <c:v>1.2718470473000001</c:v>
                </c:pt>
                <c:pt idx="53">
                  <c:v>0.99098164629999996</c:v>
                </c:pt>
                <c:pt idx="54">
                  <c:v>0.65872504759999995</c:v>
                </c:pt>
                <c:pt idx="55">
                  <c:v>0.2750772514</c:v>
                </c:pt>
                <c:pt idx="56">
                  <c:v>-0.1599617425</c:v>
                </c:pt>
                <c:pt idx="57">
                  <c:v>-0.64213489960000003</c:v>
                </c:pt>
                <c:pt idx="58">
                  <c:v>-1.1472956974999999</c:v>
                </c:pt>
                <c:pt idx="59">
                  <c:v>-1.6754441360000001</c:v>
                </c:pt>
                <c:pt idx="60">
                  <c:v>-2.2265802153999998</c:v>
                </c:pt>
                <c:pt idx="61">
                  <c:v>-2.8007039354000001</c:v>
                </c:pt>
                <c:pt idx="62">
                  <c:v>-3.3978152962000001</c:v>
                </c:pt>
                <c:pt idx="63">
                  <c:v>-4.0179142977</c:v>
                </c:pt>
                <c:pt idx="64">
                  <c:v>-4.6610009400000001</c:v>
                </c:pt>
                <c:pt idx="65">
                  <c:v>-5.2194976229999996</c:v>
                </c:pt>
                <c:pt idx="66">
                  <c:v>-5.7169993116000004</c:v>
                </c:pt>
                <c:pt idx="67">
                  <c:v>-6.1535060059999998</c:v>
                </c:pt>
                <c:pt idx="68">
                  <c:v>-6.5290177061000003</c:v>
                </c:pt>
                <c:pt idx="69">
                  <c:v>-6.8435344118000003</c:v>
                </c:pt>
                <c:pt idx="70">
                  <c:v>-7.0970561231999998</c:v>
                </c:pt>
                <c:pt idx="71">
                  <c:v>-7.2895828402999996</c:v>
                </c:pt>
                <c:pt idx="72">
                  <c:v>-7.4211145630999997</c:v>
                </c:pt>
                <c:pt idx="73">
                  <c:v>-7.2994811291000001</c:v>
                </c:pt>
                <c:pt idx="74">
                  <c:v>-7.1126035435999997</c:v>
                </c:pt>
                <c:pt idx="75">
                  <c:v>-6.8604818066000002</c:v>
                </c:pt>
                <c:pt idx="76">
                  <c:v>-6.5431159181999998</c:v>
                </c:pt>
                <c:pt idx="77">
                  <c:v>-6.1605058783000004</c:v>
                </c:pt>
                <c:pt idx="78">
                  <c:v>-5.7126516870000001</c:v>
                </c:pt>
                <c:pt idx="79">
                  <c:v>-5.1995533441999999</c:v>
                </c:pt>
                <c:pt idx="80">
                  <c:v>-4.6212108498999998</c:v>
                </c:pt>
                <c:pt idx="81">
                  <c:v>-3.9995054967999999</c:v>
                </c:pt>
                <c:pt idx="82">
                  <c:v>-3.3968639333000001</c:v>
                </c:pt>
                <c:pt idx="83">
                  <c:v>-2.8132861593</c:v>
                </c:pt>
                <c:pt idx="84">
                  <c:v>-2.2487721748</c:v>
                </c:pt>
                <c:pt idx="85">
                  <c:v>-1.7033219799999999</c:v>
                </c:pt>
                <c:pt idx="86">
                  <c:v>-1.1769355746000001</c:v>
                </c:pt>
                <c:pt idx="87">
                  <c:v>-0.66961295890000005</c:v>
                </c:pt>
                <c:pt idx="88">
                  <c:v>-0.1813541327</c:v>
                </c:pt>
                <c:pt idx="89">
                  <c:v>4.8889125999999998E-2</c:v>
                </c:pt>
                <c:pt idx="90">
                  <c:v>0.26556610879999998</c:v>
                </c:pt>
                <c:pt idx="91">
                  <c:v>0.46867681570000003</c:v>
                </c:pt>
                <c:pt idx="92">
                  <c:v>0.65822124670000004</c:v>
                </c:pt>
                <c:pt idx="93">
                  <c:v>0.83419940179999996</c:v>
                </c:pt>
                <c:pt idx="94">
                  <c:v>0.99661128099999996</c:v>
                </c:pt>
                <c:pt idx="95">
                  <c:v>1.1454568842999999</c:v>
                </c:pt>
                <c:pt idx="96">
                  <c:v>1.2807362117000001</c:v>
                </c:pt>
                <c:pt idx="97">
                  <c:v>1.4024492632000001</c:v>
                </c:pt>
                <c:pt idx="98">
                  <c:v>1.5105960387999999</c:v>
                </c:pt>
                <c:pt idx="99">
                  <c:v>1.6051765385000001</c:v>
                </c:pt>
                <c:pt idx="100">
                  <c:v>1.6861907623000001</c:v>
                </c:pt>
                <c:pt idx="101">
                  <c:v>1.7536387102</c:v>
                </c:pt>
                <c:pt idx="102">
                  <c:v>1.8075203822000001</c:v>
                </c:pt>
                <c:pt idx="103">
                  <c:v>1.8478357782999999</c:v>
                </c:pt>
                <c:pt idx="104">
                  <c:v>1.8745848984</c:v>
                </c:pt>
                <c:pt idx="105">
                  <c:v>1.908021118</c:v>
                </c:pt>
                <c:pt idx="106">
                  <c:v>1.9361223730999999</c:v>
                </c:pt>
                <c:pt idx="107">
                  <c:v>1.9588886636</c:v>
                </c:pt>
                <c:pt idx="108">
                  <c:v>1.9763199895000001</c:v>
                </c:pt>
                <c:pt idx="109">
                  <c:v>1.9884163508999999</c:v>
                </c:pt>
                <c:pt idx="110">
                  <c:v>1.9951777477999999</c:v>
                </c:pt>
                <c:pt idx="111">
                  <c:v>1.9966041801000001</c:v>
                </c:pt>
                <c:pt idx="112">
                  <c:v>1.9926956479</c:v>
                </c:pt>
                <c:pt idx="113">
                  <c:v>1.9834521512000001</c:v>
                </c:pt>
                <c:pt idx="114">
                  <c:v>1.9688736898999999</c:v>
                </c:pt>
                <c:pt idx="115">
                  <c:v>1.9489602640000001</c:v>
                </c:pt>
                <c:pt idx="116">
                  <c:v>1.9237118736000001</c:v>
                </c:pt>
                <c:pt idx="117">
                  <c:v>1.8931285187</c:v>
                </c:pt>
                <c:pt idx="118">
                  <c:v>1.8572101992000001</c:v>
                </c:pt>
                <c:pt idx="119">
                  <c:v>1.8159569151999999</c:v>
                </c:pt>
                <c:pt idx="120">
                  <c:v>1.7693686666999999</c:v>
                </c:pt>
                <c:pt idx="121">
                  <c:v>1.7344461891</c:v>
                </c:pt>
                <c:pt idx="122">
                  <c:v>1.6999739224999999</c:v>
                </c:pt>
                <c:pt idx="123">
                  <c:v>1.6659518668</c:v>
                </c:pt>
                <c:pt idx="124">
                  <c:v>1.632380022</c:v>
                </c:pt>
                <c:pt idx="125">
                  <c:v>1.599258388</c:v>
                </c:pt>
                <c:pt idx="126">
                  <c:v>1.5665869649999999</c:v>
                </c:pt>
                <c:pt idx="127">
                  <c:v>1.5343657529000001</c:v>
                </c:pt>
                <c:pt idx="128">
                  <c:v>1.5025947517</c:v>
                </c:pt>
                <c:pt idx="129">
                  <c:v>1.4712739614000001</c:v>
                </c:pt>
                <c:pt idx="130">
                  <c:v>1.440403382</c:v>
                </c:pt>
                <c:pt idx="131">
                  <c:v>1.4099830134</c:v>
                </c:pt>
                <c:pt idx="132">
                  <c:v>1.3800128558</c:v>
                </c:pt>
                <c:pt idx="133">
                  <c:v>1.3504929091</c:v>
                </c:pt>
                <c:pt idx="134">
                  <c:v>1.3214231732999999</c:v>
                </c:pt>
                <c:pt idx="135">
                  <c:v>1.2928036484000001</c:v>
                </c:pt>
                <c:pt idx="136">
                  <c:v>1.2646343343999999</c:v>
                </c:pt>
                <c:pt idx="137">
                  <c:v>1.2417634249</c:v>
                </c:pt>
                <c:pt idx="138">
                  <c:v>1.2204219827</c:v>
                </c:pt>
                <c:pt idx="139">
                  <c:v>1.2006100077999999</c:v>
                </c:pt>
                <c:pt idx="140">
                  <c:v>1.1823275003</c:v>
                </c:pt>
                <c:pt idx="141">
                  <c:v>1.16557446</c:v>
                </c:pt>
                <c:pt idx="142">
                  <c:v>1.1503508871000001</c:v>
                </c:pt>
                <c:pt idx="143">
                  <c:v>1.1366567815999999</c:v>
                </c:pt>
                <c:pt idx="144">
                  <c:v>1.1244921433999999</c:v>
                </c:pt>
                <c:pt idx="145">
                  <c:v>1.1138569724</c:v>
                </c:pt>
                <c:pt idx="146">
                  <c:v>1.1047512689000001</c:v>
                </c:pt>
                <c:pt idx="147">
                  <c:v>1.0971750326</c:v>
                </c:pt>
                <c:pt idx="148">
                  <c:v>1.0911282636999999</c:v>
                </c:pt>
                <c:pt idx="149">
                  <c:v>1.0866109621</c:v>
                </c:pt>
                <c:pt idx="150">
                  <c:v>1.0836231278999999</c:v>
                </c:pt>
                <c:pt idx="151">
                  <c:v>1.0821647609</c:v>
                </c:pt>
                <c:pt idx="152">
                  <c:v>1.0822358613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5C-45DA-A562-839E4899A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36800"/>
        <c:axId val="499535816"/>
      </c:scatterChart>
      <c:valAx>
        <c:axId val="499536800"/>
        <c:scaling>
          <c:orientation val="minMax"/>
          <c:max val="40"/>
          <c:min val="-4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Distance from the tunnel axis (m)</a:t>
                </a:r>
              </a:p>
            </c:rich>
          </c:tx>
          <c:layout>
            <c:manualLayout>
              <c:xMode val="edge"/>
              <c:yMode val="edge"/>
              <c:x val="0.31379423798158884"/>
              <c:y val="3.8143518518518739E-3"/>
            </c:manualLayout>
          </c:layout>
          <c:overlay val="0"/>
        </c:title>
        <c:numFmt formatCode="0" sourceLinked="0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99535816"/>
        <c:crosses val="autoZero"/>
        <c:crossBetween val="midCat"/>
      </c:valAx>
      <c:valAx>
        <c:axId val="4995358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Surface Settlements (mm)</a:t>
                </a:r>
              </a:p>
            </c:rich>
          </c:tx>
          <c:overlay val="0"/>
        </c:title>
        <c:numFmt formatCode="0" sourceLinked="0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99536800"/>
        <c:crosses val="autoZero"/>
        <c:crossBetween val="midCat"/>
      </c:valAx>
      <c:spPr>
        <a:noFill/>
        <a:ln w="6350"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sz="1100"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89768518518519"/>
          <c:y val="3.5880555555555554E-2"/>
          <c:w val="0.70301481481481487"/>
          <c:h val="0.8050657407407407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TBM_GP!$O$1</c:f>
              <c:strCache>
                <c:ptCount val="1"/>
                <c:pt idx="0">
                  <c:v>GP (kPa)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TBM_GP!$M$2:$M$14</c:f>
              <c:numCache>
                <c:formatCode>0.00</c:formatCode>
                <c:ptCount val="13"/>
                <c:pt idx="0">
                  <c:v>12.7926503366667</c:v>
                </c:pt>
                <c:pt idx="1">
                  <c:v>13.012606553333301</c:v>
                </c:pt>
                <c:pt idx="2">
                  <c:v>13.606858937999998</c:v>
                </c:pt>
                <c:pt idx="3">
                  <c:v>14.460316654</c:v>
                </c:pt>
                <c:pt idx="4">
                  <c:v>15.336009783999998</c:v>
                </c:pt>
                <c:pt idx="5">
                  <c:v>15.998767659999999</c:v>
                </c:pt>
                <c:pt idx="6">
                  <c:v>16.201167850000001</c:v>
                </c:pt>
                <c:pt idx="7">
                  <c:v>15.882688701999999</c:v>
                </c:pt>
                <c:pt idx="8">
                  <c:v>15.060352315999999</c:v>
                </c:pt>
                <c:pt idx="9">
                  <c:v>13.96013164</c:v>
                </c:pt>
                <c:pt idx="10">
                  <c:v>12.837855034</c:v>
                </c:pt>
                <c:pt idx="11">
                  <c:v>11.9953021</c:v>
                </c:pt>
                <c:pt idx="12">
                  <c:v>11.6971266316667</c:v>
                </c:pt>
              </c:numCache>
            </c:numRef>
          </c:xVal>
          <c:yVal>
            <c:numRef>
              <c:f>TBM_GP!$J$2:$J$14</c:f>
              <c:numCache>
                <c:formatCode>0.00</c:formatCode>
                <c:ptCount val="13"/>
                <c:pt idx="0">
                  <c:v>1</c:v>
                </c:pt>
                <c:pt idx="1">
                  <c:v>0.9829629131445341</c:v>
                </c:pt>
                <c:pt idx="2">
                  <c:v>0.9330127018922193</c:v>
                </c:pt>
                <c:pt idx="3">
                  <c:v>0.85355339059327373</c:v>
                </c:pt>
                <c:pt idx="4">
                  <c:v>0.75</c:v>
                </c:pt>
                <c:pt idx="5">
                  <c:v>0.62940952255126037</c:v>
                </c:pt>
                <c:pt idx="6">
                  <c:v>0.5</c:v>
                </c:pt>
                <c:pt idx="7">
                  <c:v>0.37059047744873963</c:v>
                </c:pt>
                <c:pt idx="8">
                  <c:v>0.25</c:v>
                </c:pt>
                <c:pt idx="9">
                  <c:v>0.14644660940672627</c:v>
                </c:pt>
                <c:pt idx="10">
                  <c:v>6.6987298107780702E-2</c:v>
                </c:pt>
                <c:pt idx="11">
                  <c:v>1.7037086855465844E-2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FB-434A-9534-1E20ED4060FA}"/>
            </c:ext>
          </c:extLst>
        </c:ser>
        <c:ser>
          <c:idx val="0"/>
          <c:order val="1"/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TBM_GP!$A$20:$A$21</c:f>
              <c:numCache>
                <c:formatCode>General</c:formatCode>
                <c:ptCount val="2"/>
                <c:pt idx="0">
                  <c:v>15.000000000000036</c:v>
                </c:pt>
                <c:pt idx="1">
                  <c:v>15.000000000000036</c:v>
                </c:pt>
              </c:numCache>
            </c:numRef>
          </c:xVal>
          <c:yVal>
            <c:numRef>
              <c:f>TBM_GP!$B$20:$B$21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FB-434A-9534-1E20ED406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01344"/>
        <c:axId val="173003136"/>
      </c:scatterChart>
      <c:valAx>
        <c:axId val="173001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Gap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3003136"/>
        <c:crosses val="autoZero"/>
        <c:crossBetween val="midCat"/>
        <c:majorUnit val="5"/>
      </c:valAx>
      <c:valAx>
        <c:axId val="173003136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Normalized Height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3001344"/>
        <c:crosses val="autoZero"/>
        <c:crossBetween val="midCat"/>
        <c:majorUnit val="0.2"/>
      </c:valAx>
      <c:spPr>
        <a:noFill/>
        <a:ln w="6350"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206740</xdr:colOff>
      <xdr:row>14</xdr:row>
      <xdr:rowOff>31626</xdr:rowOff>
    </xdr:from>
    <xdr:to>
      <xdr:col>11</xdr:col>
      <xdr:colOff>130436</xdr:colOff>
      <xdr:row>25</xdr:row>
      <xdr:rowOff>96126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 fPrintsWithSheet="0"/>
  </xdr:twoCellAnchor>
  <xdr:twoCellAnchor editAs="absolute">
    <xdr:from>
      <xdr:col>14</xdr:col>
      <xdr:colOff>246675</xdr:colOff>
      <xdr:row>14</xdr:row>
      <xdr:rowOff>45441</xdr:rowOff>
    </xdr:from>
    <xdr:to>
      <xdr:col>30</xdr:col>
      <xdr:colOff>107674</xdr:colOff>
      <xdr:row>25</xdr:row>
      <xdr:rowOff>109941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76200</xdr:rowOff>
        </xdr:from>
        <xdr:to>
          <xdr:col>1</xdr:col>
          <xdr:colOff>552450</xdr:colOff>
          <xdr:row>17</xdr:row>
          <xdr:rowOff>133350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Calculation Cycle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16566</xdr:colOff>
      <xdr:row>14</xdr:row>
      <xdr:rowOff>67680</xdr:rowOff>
    </xdr:from>
    <xdr:to>
      <xdr:col>14</xdr:col>
      <xdr:colOff>263283</xdr:colOff>
      <xdr:row>25</xdr:row>
      <xdr:rowOff>132180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 fPrintsWithSheet="0"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3" growShrinkType="overwriteClear" connectionId="69" xr16:uid="{00000000-0016-0000-0000-0000C9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4" growShrinkType="overwriteClear" connectionId="31" xr16:uid="{00000000-0016-0000-0000-0000C8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0" growShrinkType="overwriteClear" connectionId="65" xr16:uid="{00000000-0016-0000-0000-0000C7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6" growShrinkType="overwriteClear" connectionId="112" xr16:uid="{00000000-0016-0000-0000-0000C6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3" growShrinkType="overwriteClear" connectionId="15" xr16:uid="{00000000-0016-0000-0000-0000C5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8" growShrinkType="overwriteClear" connectionId="74" xr16:uid="{00000000-0016-0000-0000-0000C4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6" growShrinkType="overwriteClear" connectionId="7" xr16:uid="{00000000-0016-0000-0000-0000C3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6" growShrinkType="overwriteClear" connectionId="72" xr16:uid="{00000000-0016-0000-0000-0000C2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5" growShrinkType="overwriteClear" connectionId="71" xr16:uid="{00000000-0016-0000-0000-0000C1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3" growShrinkType="overwriteClear" connectionId="4" xr16:uid="{00000000-0016-0000-0000-0000C0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1" growShrinkType="overwriteClear" connectionId="46" xr16:uid="{00000000-0016-0000-0000-0000BF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8" growShrinkType="overwriteClear" connectionId="118" xr16:uid="{00000000-0016-0000-0000-0000BE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7" growShrinkType="overwriteClear" connectionId="95" xr16:uid="{00000000-0016-0000-0000-0000BD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9" growShrinkType="overwriteClear" connectionId="86" xr16:uid="{00000000-0016-0000-0000-0000BC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7" growShrinkType="overwriteClear" connectionId="95" xr16:uid="{00000000-0016-0000-0000-0000BB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0" growShrinkType="overwriteClear" connectionId="11" xr16:uid="{00000000-0016-0000-0000-0000BA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8" growShrinkType="overwriteClear" connectionId="11" xr16:uid="{00000000-0016-0000-0000-0000B9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0" growShrinkType="overwriteClear" connectionId="123" xr16:uid="{00000000-0016-0000-0000-0000B8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2" growShrinkType="overwriteClear" connectionId="134" xr16:uid="{00000000-0016-0000-0000-0000B7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8" growShrinkType="overwriteClear" connectionId="32" xr16:uid="{00000000-0016-0000-0000-0000B6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3" growShrinkType="overwriteClear" connectionId="79" xr16:uid="{00000000-0016-0000-0000-0000B5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8" growShrinkType="overwriteClear" connectionId="143" xr16:uid="{00000000-0016-0000-0000-0000B4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6" growShrinkType="overwriteClear" connectionId="41" xr16:uid="{00000000-0016-0000-0000-0000B3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5" growShrinkType="overwriteClear" connectionId="57" xr16:uid="{00000000-0016-0000-0000-0000B2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6" growShrinkType="overwriteClear" connectionId="83" xr16:uid="{00000000-0016-0000-0000-0000B1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0" growShrinkType="overwriteClear" connectionId="34" xr16:uid="{00000000-0016-0000-0000-0000B0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6" growShrinkType="overwriteClear" connectionId="57" xr16:uid="{00000000-0016-0000-0000-0000AF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8" growShrinkType="overwriteClear" connectionId="21" xr16:uid="{00000000-0016-0000-0000-0000AE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1" growShrinkType="overwriteClear" connectionId="110" xr16:uid="{00000000-0016-0000-0000-0000AD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7" growShrinkType="overwriteClear" connectionId="47" xr16:uid="{00000000-0016-0000-0000-0000AC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1" growShrinkType="overwriteClear" connectionId="88" xr16:uid="{00000000-0016-0000-0000-0000AB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2" growShrinkType="overwriteClear" connectionId="3" xr16:uid="{00000000-0016-0000-0000-0000AA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1" growShrinkType="overwriteClear" connectionId="24" xr16:uid="{00000000-0016-0000-0000-0000A9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6" growShrinkType="overwriteClear" connectionId="72" xr16:uid="{00000000-0016-0000-0000-0000A8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8" growShrinkType="overwriteClear" connectionId="50" xr16:uid="{00000000-0016-0000-0000-0000A7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0" growShrinkType="overwriteClear" connectionId="87" xr16:uid="{00000000-0016-0000-0000-0000A6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5" growShrinkType="overwriteClear" connectionId="82" xr16:uid="{00000000-0016-0000-0000-0000A5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4" growShrinkType="overwriteClear" connectionId="5" xr16:uid="{00000000-0016-0000-0000-0000A4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4" growShrinkType="overwriteClear" connectionId="51" xr16:uid="{00000000-0016-0000-0000-0000A3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4" growShrinkType="overwriteClear" connectionId="90" xr16:uid="{00000000-0016-0000-0000-0000A2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9" growShrinkType="overwriteClear" connectionId="100" xr16:uid="{00000000-0016-0000-0000-0000A1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0" growShrinkType="overwriteClear" connectionId="120" xr16:uid="{00000000-0016-0000-0000-0000A0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2" growShrinkType="overwriteClear" connectionId="122" xr16:uid="{00000000-0016-0000-0000-00009F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9" growShrinkType="overwriteClear" connectionId="64" xr16:uid="{00000000-0016-0000-0000-00009E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2" growShrinkType="overwriteClear" connectionId="89" xr16:uid="{00000000-0016-0000-0000-00009D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4" growShrinkType="overwriteClear" connectionId="81" xr16:uid="{00000000-0016-0000-0000-00009C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3" growShrinkType="overwriteClear" connectionId="27" xr16:uid="{00000000-0016-0000-0000-00009B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4" growShrinkType="overwriteClear" connectionId="39" xr16:uid="{00000000-0016-0000-0000-00009A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1" growShrinkType="overwriteClear" connectionId="57" xr16:uid="{00000000-0016-0000-0000-000099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2" growShrinkType="overwriteClear" connectionId="56" xr16:uid="{00000000-0016-0000-0000-000098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6" growShrinkType="overwriteClear" connectionId="130" xr16:uid="{00000000-0016-0000-0000-000097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4" growShrinkType="overwriteClear" connectionId="48" xr16:uid="{00000000-0016-0000-0000-000096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4" growShrinkType="overwriteClear" connectionId="92" xr16:uid="{00000000-0016-0000-0000-000095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8" growShrinkType="overwriteClear" connectionId="63" xr16:uid="{00000000-0016-0000-0000-000094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2" growShrinkType="overwriteClear" connectionId="37" xr16:uid="{00000000-0016-0000-0000-000093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7" growShrinkType="overwriteClear" connectionId="73" xr16:uid="{00000000-0016-0000-0000-000092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9" growShrinkType="overwriteClear" connectionId="99" xr16:uid="{00000000-0016-0000-0000-000091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7" growShrinkType="overwriteClear" connectionId="117" xr16:uid="{00000000-0016-0000-0000-000090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4" growShrinkType="overwriteClear" connectionId="2" xr16:uid="{00000000-0016-0000-0000-00008F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0" growShrinkType="overwriteClear" connectionId="54" xr16:uid="{00000000-0016-0000-0000-00008E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8" growShrinkType="overwriteClear" connectionId="96" xr16:uid="{00000000-0016-0000-0000-00008D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5" growShrinkType="overwriteClear" connectionId="71" xr16:uid="{00000000-0016-0000-0000-00008C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3" growShrinkType="overwriteClear" connectionId="80" xr16:uid="{00000000-0016-0000-0000-00008B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4" growShrinkType="overwriteClear" connectionId="17" xr16:uid="{00000000-0016-0000-0000-00008A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8" growShrinkType="overwriteClear" connectionId="68" xr16:uid="{00000000-0016-0000-0000-000089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6" growShrinkType="overwriteClear" connectionId="61" xr16:uid="{00000000-0016-0000-0000-000088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6" growShrinkType="overwriteClear" connectionId="94" xr16:uid="{00000000-0016-0000-0000-000087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8" growShrinkType="overwriteClear" connectionId="43" xr16:uid="{00000000-0016-0000-0000-000086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7" growShrinkType="overwriteClear" connectionId="84" xr16:uid="{00000000-0016-0000-0000-000085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7" growShrinkType="overwriteClear" connectionId="131" xr16:uid="{00000000-0016-0000-0000-000084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8" growShrinkType="overwriteClear" connectionId="99" xr16:uid="{00000000-0016-0000-0000-000083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8" growShrinkType="overwriteClear" connectionId="90" xr16:uid="{00000000-0016-0000-0000-000082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3" growShrinkType="overwriteClear" connectionId="91" xr16:uid="{00000000-0016-0000-0000-000081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8" growShrinkType="overwriteClear" connectionId="52" xr16:uid="{00000000-0016-0000-0000-000080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7" growShrinkType="overwriteClear" connectionId="20" xr16:uid="{00000000-0016-0000-0000-00007F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4" growShrinkType="overwriteClear" connectionId="114" xr16:uid="{00000000-0016-0000-0000-00007E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1" growShrinkType="overwriteClear" connectionId="66" xr16:uid="{00000000-0016-0000-0000-00007D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1" growShrinkType="overwriteClear" connectionId="35" xr16:uid="{00000000-0016-0000-0000-00007C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1" growShrinkType="overwriteClear" connectionId="129" xr16:uid="{00000000-0016-0000-0000-00007B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7" growShrinkType="overwriteClear" connectionId="73" xr16:uid="{00000000-0016-0000-0000-00007A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2" growShrinkType="overwriteClear" connectionId="106" xr16:uid="{00000000-0016-0000-0000-000079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2" growShrinkType="overwriteClear" connectionId="68" xr16:uid="{00000000-0016-0000-0000-000078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6" growShrinkType="overwriteClear" connectionId="49" xr16:uid="{00000000-0016-0000-0000-000077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2" growShrinkType="overwriteClear" connectionId="144" xr16:uid="{00000000-0016-0000-0000-000076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0" growShrinkType="overwriteClear" connectionId="65" xr16:uid="{00000000-0016-0000-0000-000075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6" growShrinkType="overwriteClear" connectionId="94" xr16:uid="{00000000-0016-0000-0000-000074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8" growShrinkType="overwriteClear" connectionId="9" xr16:uid="{00000000-0016-0000-0000-000073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9" growShrinkType="overwriteClear" connectionId="119" xr16:uid="{00000000-0016-0000-0000-000072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0" growShrinkType="overwriteClear" connectionId="135" xr16:uid="{00000000-0016-0000-0000-000071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0" growShrinkType="overwriteClear" connectionId="112" xr16:uid="{00000000-0016-0000-0000-000070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5" growShrinkType="overwriteClear" connectionId="60" xr16:uid="{00000000-0016-0000-0000-00006F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0" growShrinkType="overwriteClear" connectionId="76" xr16:uid="{00000000-0016-0000-0000-00006E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8" growShrinkType="overwriteClear" connectionId="85" xr16:uid="{00000000-0016-0000-0000-00006D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0" growShrinkType="overwriteClear" connectionId="34" xr16:uid="{00000000-0016-0000-0000-00006C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5" growShrinkType="overwriteClear" connectionId="2" xr16:uid="{00000000-0016-0000-0000-00006B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4" growShrinkType="overwriteClear" connectionId="70" xr16:uid="{00000000-0016-0000-0000-00006A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4" growShrinkType="overwriteClear" connectionId="139" xr16:uid="{00000000-0016-0000-0000-000069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0" growShrinkType="overwriteClear" connectionId="45" xr16:uid="{00000000-0016-0000-0000-000068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9" growShrinkType="overwriteClear" connectionId="44" xr16:uid="{00000000-0016-0000-0000-000067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2" growShrinkType="overwriteClear" connectionId="137" xr16:uid="{00000000-0016-0000-0000-000066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2" growShrinkType="overwriteClear" connectionId="89" xr16:uid="{00000000-0016-0000-0000-000065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0" growShrinkType="overwriteClear" connectionId="103" xr16:uid="{00000000-0016-0000-0000-000064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5" growShrinkType="overwriteClear" connectionId="40" xr16:uid="{00000000-0016-0000-0000-000063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0" growShrinkType="overwriteClear" connectionId="102" xr16:uid="{00000000-0016-0000-0000-000062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8" growShrinkType="overwriteClear" connectionId="98" xr16:uid="{00000000-0016-0000-0000-000061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9" growShrinkType="overwriteClear" connectionId="86" xr16:uid="{00000000-0016-0000-0000-000060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6" growShrinkType="overwriteClear" connectionId="16" xr16:uid="{00000000-0016-0000-0000-00005F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3" growShrinkType="overwriteClear" connectionId="113" xr16:uid="{00000000-0016-0000-0000-00005E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6" growShrinkType="overwriteClear" connectionId="83" xr16:uid="{00000000-0016-0000-0000-00005D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8" growShrinkType="overwriteClear" connectionId="57" xr16:uid="{00000000-0016-0000-0000-00005C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1" growShrinkType="overwriteClear" connectionId="88" xr16:uid="{00000000-0016-0000-0000-00005B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9" growShrinkType="overwriteClear" connectionId="2" xr16:uid="{00000000-0016-0000-0000-00005A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5" growShrinkType="overwriteClear" connectionId="25" xr16:uid="{00000000-0016-0000-0000-000059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3" growShrinkType="overwriteClear" connectionId="107" xr16:uid="{00000000-0016-0000-0000-000058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4" growShrinkType="overwriteClear" connectionId="108" xr16:uid="{00000000-0016-0000-0000-000057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2" growShrinkType="overwriteClear" connectionId="35" xr16:uid="{00000000-0016-0000-0000-000056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9" growShrinkType="overwriteClear" connectionId="101" xr16:uid="{00000000-0016-0000-0000-000055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2" growShrinkType="overwriteClear" connectionId="13" xr16:uid="{00000000-0016-0000-0000-000054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4" growShrinkType="overwriteClear" connectionId="70" xr16:uid="{00000000-0016-0000-0000-000053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5" growShrinkType="overwriteClear" connectionId="101" xr16:uid="{00000000-0016-0000-0000-000052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8" growShrinkType="overwriteClear" connectionId="85" xr16:uid="{00000000-0016-0000-0000-000051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1" growShrinkType="overwriteClear" connectionId="77" xr16:uid="{00000000-0016-0000-0000-000050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9" growShrinkType="overwriteClear" connectionId="1" xr16:uid="{00000000-0016-0000-0000-00004F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1" growShrinkType="overwriteClear" connectionId="123" xr16:uid="{00000000-0016-0000-0000-00004E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2" growShrinkType="overwriteClear" connectionId="26" xr16:uid="{00000000-0016-0000-0000-00004D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9" growShrinkType="overwriteClear" connectionId="133" xr16:uid="{00000000-0016-0000-0000-00004C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5" growShrinkType="overwriteClear" connectionId="115" xr16:uid="{00000000-0016-0000-0000-00004B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1" growShrinkType="overwriteClear" connectionId="77" xr16:uid="{00000000-0016-0000-0000-00004A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6" growShrinkType="overwriteClear" connectionId="27" xr16:uid="{00000000-0016-0000-0000-000049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0" growShrinkType="overwriteClear" connectionId="23" xr16:uid="{00000000-0016-0000-0000-000048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8" growShrinkType="overwriteClear" connectionId="60" xr16:uid="{00000000-0016-0000-0000-000047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9" growShrinkType="overwriteClear" connectionId="33" xr16:uid="{00000000-0016-0000-0000-000046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2" growShrinkType="overwriteClear" connectionId="78" xr16:uid="{00000000-0016-0000-0000-000045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5" growShrinkType="overwriteClear" connectionId="109" xr16:uid="{00000000-0016-0000-0000-000044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3" growShrinkType="overwriteClear" connectionId="58" xr16:uid="{00000000-0016-0000-0000-000043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1" growShrinkType="overwriteClear" connectionId="105" xr16:uid="{00000000-0016-0000-0000-000042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7" growShrinkType="overwriteClear" connectionId="62" xr16:uid="{00000000-0016-0000-0000-000041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7" growShrinkType="overwriteClear" connectionId="31" xr16:uid="{00000000-0016-0000-0000-000040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8" growShrinkType="overwriteClear" connectionId="33" xr16:uid="{00000000-0016-0000-0000-00003F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8" growShrinkType="overwriteClear" connectionId="74" xr16:uid="{00000000-0016-0000-0000-00003E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9" growShrinkType="overwriteClear" connectionId="75" xr16:uid="{00000000-0016-0000-0000-00003D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5" growShrinkType="overwriteClear" connectionId="140" xr16:uid="{00000000-0016-0000-0000-00003C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9" growShrinkType="overwriteClear" connectionId="101" xr16:uid="{00000000-0016-0000-0000-00003B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5" growShrinkType="overwriteClear" connectionId="126" xr16:uid="{00000000-0016-0000-0000-00003A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0" growShrinkType="overwriteClear" connectionId="87" xr16:uid="{00000000-0016-0000-0000-000039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5" growShrinkType="overwriteClear" connectionId="29" xr16:uid="{00000000-0016-0000-0000-000038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3" growShrinkType="overwriteClear" connectionId="1" xr16:uid="{00000000-0016-0000-0000-000037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5" growShrinkType="overwriteClear" connectionId="82" xr16:uid="{00000000-0016-0000-0000-000036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9" growShrinkType="overwriteClear" connectionId="10" xr16:uid="{00000000-0016-0000-0000-000035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6" growShrinkType="overwriteClear" connectionId="36" xr16:uid="{00000000-0016-0000-0000-000034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6" growShrinkType="overwriteClear" connectionId="127" xr16:uid="{00000000-0016-0000-0000-000033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3" growShrinkType="overwriteClear" connectionId="138" xr16:uid="{00000000-0016-0000-0000-000032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9" growShrinkType="overwriteClear" connectionId="97" xr16:uid="{00000000-0016-0000-0000-000031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7" growShrinkType="overwriteClear" connectionId="8" xr16:uid="{00000000-0016-0000-0000-000030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6" growShrinkType="overwriteClear" connectionId="70" xr16:uid="{00000000-0016-0000-0000-00002F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3" growShrinkType="overwriteClear" connectionId="69" xr16:uid="{00000000-0016-0000-0000-00002E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0" growShrinkType="overwriteClear" connectionId="76" xr16:uid="{00000000-0016-0000-0000-00002D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8" growShrinkType="overwriteClear" connectionId="132" xr16:uid="{00000000-0016-0000-0000-00002C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2" growShrinkType="overwriteClear" connectionId="67" xr16:uid="{00000000-0016-0000-0000-00002B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6" growShrinkType="overwriteClear" connectionId="68" xr16:uid="{00000000-0016-0000-0000-00002A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9" growShrinkType="overwriteClear" connectionId="53" xr16:uid="{00000000-0016-0000-0000-000029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4" growShrinkType="overwriteClear" connectionId="14" xr16:uid="{00000000-0016-0000-0000-000028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6" growShrinkType="overwriteClear" connectionId="116" xr16:uid="{00000000-0016-0000-0000-00002700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4" growShrinkType="overwriteClear" connectionId="92" xr16:uid="{00000000-0016-0000-0000-000026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2" growShrinkType="overwriteClear" connectionId="90" xr16:uid="{00000000-0016-0000-0000-000025000000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7" growShrinkType="overwriteClear" connectionId="79" xr16:uid="{00000000-0016-0000-0000-000024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5" growShrinkType="overwriteClear" connectionId="6" xr16:uid="{00000000-0016-0000-0000-000023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1" growShrinkType="overwriteClear" connectionId="66" xr16:uid="{00000000-0016-0000-0000-000022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3" growShrinkType="overwriteClear" connectionId="80" xr16:uid="{00000000-0016-0000-0000-000021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7" growShrinkType="overwriteClear" connectionId="84" xr16:uid="{00000000-0016-0000-0000-000020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6" growShrinkType="overwriteClear" connectionId="75" xr16:uid="{00000000-0016-0000-0000-00001F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1" growShrinkType="overwriteClear" connectionId="121" xr16:uid="{00000000-0016-0000-0000-00001E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1" growShrinkType="overwriteClear" connectionId="55" xr16:uid="{00000000-0016-0000-0000-00001D000000}" autoFormatId="0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2" growShrinkType="overwriteClear" connectionId="111" xr16:uid="{00000000-0016-0000-0000-00001C000000}" autoFormatId="0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1" growShrinkType="overwriteClear" connectionId="12" xr16:uid="{00000000-0016-0000-0000-00001B000000}" autoFormatId="0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3" growShrinkType="overwriteClear" connectionId="3" xr16:uid="{00000000-0016-0000-0000-00001A000000}" autoFormatId="0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2" growShrinkType="overwriteClear" connectionId="48" xr16:uid="{00000000-0016-0000-0000-000019000000}" autoFormatId="0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7" growShrinkType="overwriteClear" connectionId="42" xr16:uid="{00000000-0016-0000-0000-000018000000}" autoFormatId="0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6" growShrinkType="overwriteClear" connectionId="30" xr16:uid="{00000000-0016-0000-0000-000017000000}" autoFormatId="0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5" growShrinkType="overwriteClear" connectionId="93" xr16:uid="{00000000-0016-0000-0000-000016000000}" autoFormatId="0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5" growShrinkType="overwriteClear" connectionId="18" xr16:uid="{00000000-0016-0000-0000-000015000000}" autoFormatId="0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7" growShrinkType="overwriteClear" connectionId="128" xr16:uid="{00000000-0016-0000-0000-000014000000}" autoFormatId="0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6" growShrinkType="overwriteClear" connectionId="141" xr16:uid="{00000000-0016-0000-0000-000013000000}" autoFormatId="0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1" growShrinkType="overwriteClear" connectionId="136" xr16:uid="{00000000-0016-0000-0000-000012000000}" autoFormatId="0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2" growShrinkType="overwriteClear" connectionId="19" xr16:uid="{00000000-0016-0000-0000-000011000000}" autoFormatId="0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3" growShrinkType="overwriteClear" connectionId="124" xr16:uid="{00000000-0016-0000-0000-000010000000}" autoFormatId="0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9" growShrinkType="overwriteClear" connectionId="22" xr16:uid="{00000000-0016-0000-0000-00000F000000}" autoFormatId="0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0" growShrinkType="overwriteClear" connectionId="104" xr16:uid="{00000000-0016-0000-0000-00000E000000}" autoFormatId="0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8" growShrinkType="overwriteClear" connectionId="39" xr16:uid="{00000000-0016-0000-0000-00000D000000}" autoFormatId="0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5" growShrinkType="overwriteClear" connectionId="93" xr16:uid="{00000000-0016-0000-0000-00000C000000}" autoFormatId="0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2" growShrinkType="overwriteClear" connectionId="67" xr16:uid="{00000000-0016-0000-0000-00000B000000}" autoFormatId="0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4" growShrinkType="overwriteClear" connectionId="28" xr16:uid="{00000000-0016-0000-0000-00000A000000}" autoFormatId="0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3" growShrinkType="overwriteClear" connectionId="38" xr16:uid="{00000000-0016-0000-0000-000009000000}" autoFormatId="0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2" growShrinkType="overwriteClear" connectionId="78" xr16:uid="{00000000-0016-0000-0000-000008000000}" autoFormatId="0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7" growShrinkType="overwriteClear" connectionId="142" xr16:uid="{00000000-0016-0000-0000-000007000000}" autoFormatId="0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4" growShrinkType="overwriteClear" connectionId="59" xr16:uid="{00000000-0016-0000-0000-000006000000}" autoFormatId="0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3" growShrinkType="overwriteClear" connectionId="91" xr16:uid="{00000000-0016-0000-0000-000005000000}" autoFormatId="0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9" growShrinkType="overwriteClear" connectionId="75" xr16:uid="{00000000-0016-0000-0000-000004000000}" autoFormatId="0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4" growShrinkType="overwriteClear" connectionId="125" xr16:uid="{00000000-0016-0000-0000-000003000000}" autoFormatId="0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4" growShrinkType="overwriteClear" connectionId="81" xr16:uid="{00000000-0016-0000-0000-000002000000}" autoFormatId="0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6" growShrinkType="overwriteClear" connectionId="19" xr16:uid="{00000000-0016-0000-0000-000001000000}" autoFormatId="0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0" growShrinkType="overwriteClear" connectionId="2" xr16:uid="{00000000-0016-0000-0000-000000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3.xml"/><Relationship Id="rId21" Type="http://schemas.openxmlformats.org/officeDocument/2006/relationships/queryTable" Target="../queryTables/queryTable17.xml"/><Relationship Id="rId42" Type="http://schemas.openxmlformats.org/officeDocument/2006/relationships/queryTable" Target="../queryTables/queryTable38.xml"/><Relationship Id="rId63" Type="http://schemas.openxmlformats.org/officeDocument/2006/relationships/queryTable" Target="../queryTables/queryTable59.xml"/><Relationship Id="rId84" Type="http://schemas.openxmlformats.org/officeDocument/2006/relationships/queryTable" Target="../queryTables/queryTable80.xml"/><Relationship Id="rId138" Type="http://schemas.openxmlformats.org/officeDocument/2006/relationships/queryTable" Target="../queryTables/queryTable134.xml"/><Relationship Id="rId159" Type="http://schemas.openxmlformats.org/officeDocument/2006/relationships/queryTable" Target="../queryTables/queryTable155.xml"/><Relationship Id="rId170" Type="http://schemas.openxmlformats.org/officeDocument/2006/relationships/queryTable" Target="../queryTables/queryTable166.xml"/><Relationship Id="rId191" Type="http://schemas.openxmlformats.org/officeDocument/2006/relationships/queryTable" Target="../queryTables/queryTable187.xml"/><Relationship Id="rId205" Type="http://schemas.openxmlformats.org/officeDocument/2006/relationships/queryTable" Target="../queryTables/queryTable201.xml"/><Relationship Id="rId107" Type="http://schemas.openxmlformats.org/officeDocument/2006/relationships/queryTable" Target="../queryTables/queryTable103.xml"/><Relationship Id="rId11" Type="http://schemas.openxmlformats.org/officeDocument/2006/relationships/queryTable" Target="../queryTables/queryTable7.xml"/><Relationship Id="rId32" Type="http://schemas.openxmlformats.org/officeDocument/2006/relationships/queryTable" Target="../queryTables/queryTable28.xml"/><Relationship Id="rId53" Type="http://schemas.openxmlformats.org/officeDocument/2006/relationships/queryTable" Target="../queryTables/queryTable49.xml"/><Relationship Id="rId74" Type="http://schemas.openxmlformats.org/officeDocument/2006/relationships/queryTable" Target="../queryTables/queryTable70.xml"/><Relationship Id="rId128" Type="http://schemas.openxmlformats.org/officeDocument/2006/relationships/queryTable" Target="../queryTables/queryTable124.xml"/><Relationship Id="rId149" Type="http://schemas.openxmlformats.org/officeDocument/2006/relationships/queryTable" Target="../queryTables/queryTable145.xml"/><Relationship Id="rId5" Type="http://schemas.openxmlformats.org/officeDocument/2006/relationships/queryTable" Target="../queryTables/queryTable1.xml"/><Relationship Id="rId95" Type="http://schemas.openxmlformats.org/officeDocument/2006/relationships/queryTable" Target="../queryTables/queryTable91.xml"/><Relationship Id="rId160" Type="http://schemas.openxmlformats.org/officeDocument/2006/relationships/queryTable" Target="../queryTables/queryTable156.xml"/><Relationship Id="rId181" Type="http://schemas.openxmlformats.org/officeDocument/2006/relationships/queryTable" Target="../queryTables/queryTable177.xml"/><Relationship Id="rId22" Type="http://schemas.openxmlformats.org/officeDocument/2006/relationships/queryTable" Target="../queryTables/queryTable18.xml"/><Relationship Id="rId43" Type="http://schemas.openxmlformats.org/officeDocument/2006/relationships/queryTable" Target="../queryTables/queryTable39.xml"/><Relationship Id="rId64" Type="http://schemas.openxmlformats.org/officeDocument/2006/relationships/queryTable" Target="../queryTables/queryTable60.xml"/><Relationship Id="rId118" Type="http://schemas.openxmlformats.org/officeDocument/2006/relationships/queryTable" Target="../queryTables/queryTable114.xml"/><Relationship Id="rId139" Type="http://schemas.openxmlformats.org/officeDocument/2006/relationships/queryTable" Target="../queryTables/queryTable135.xml"/><Relationship Id="rId85" Type="http://schemas.openxmlformats.org/officeDocument/2006/relationships/queryTable" Target="../queryTables/queryTable81.xml"/><Relationship Id="rId150" Type="http://schemas.openxmlformats.org/officeDocument/2006/relationships/queryTable" Target="../queryTables/queryTable146.xml"/><Relationship Id="rId171" Type="http://schemas.openxmlformats.org/officeDocument/2006/relationships/queryTable" Target="../queryTables/queryTable167.xml"/><Relationship Id="rId192" Type="http://schemas.openxmlformats.org/officeDocument/2006/relationships/queryTable" Target="../queryTables/queryTable188.xml"/><Relationship Id="rId206" Type="http://schemas.openxmlformats.org/officeDocument/2006/relationships/queryTable" Target="../queryTables/queryTable202.xml"/><Relationship Id="rId12" Type="http://schemas.openxmlformats.org/officeDocument/2006/relationships/queryTable" Target="../queryTables/queryTable8.xml"/><Relationship Id="rId33" Type="http://schemas.openxmlformats.org/officeDocument/2006/relationships/queryTable" Target="../queryTables/queryTable29.xml"/><Relationship Id="rId108" Type="http://schemas.openxmlformats.org/officeDocument/2006/relationships/queryTable" Target="../queryTables/queryTable104.xml"/><Relationship Id="rId129" Type="http://schemas.openxmlformats.org/officeDocument/2006/relationships/queryTable" Target="../queryTables/queryTable125.xml"/><Relationship Id="rId54" Type="http://schemas.openxmlformats.org/officeDocument/2006/relationships/queryTable" Target="../queryTables/queryTable50.xml"/><Relationship Id="rId75" Type="http://schemas.openxmlformats.org/officeDocument/2006/relationships/queryTable" Target="../queryTables/queryTable71.xml"/><Relationship Id="rId96" Type="http://schemas.openxmlformats.org/officeDocument/2006/relationships/queryTable" Target="../queryTables/queryTable92.xml"/><Relationship Id="rId140" Type="http://schemas.openxmlformats.org/officeDocument/2006/relationships/queryTable" Target="../queryTables/queryTable136.xml"/><Relationship Id="rId161" Type="http://schemas.openxmlformats.org/officeDocument/2006/relationships/queryTable" Target="../queryTables/queryTable157.xml"/><Relationship Id="rId182" Type="http://schemas.openxmlformats.org/officeDocument/2006/relationships/queryTable" Target="../queryTables/queryTable178.xml"/><Relationship Id="rId6" Type="http://schemas.openxmlformats.org/officeDocument/2006/relationships/queryTable" Target="../queryTables/queryTable2.xml"/><Relationship Id="rId23" Type="http://schemas.openxmlformats.org/officeDocument/2006/relationships/queryTable" Target="../queryTables/queryTable19.xml"/><Relationship Id="rId119" Type="http://schemas.openxmlformats.org/officeDocument/2006/relationships/queryTable" Target="../queryTables/queryTable115.xml"/><Relationship Id="rId44" Type="http://schemas.openxmlformats.org/officeDocument/2006/relationships/queryTable" Target="../queryTables/queryTable40.xml"/><Relationship Id="rId65" Type="http://schemas.openxmlformats.org/officeDocument/2006/relationships/queryTable" Target="../queryTables/queryTable61.xml"/><Relationship Id="rId86" Type="http://schemas.openxmlformats.org/officeDocument/2006/relationships/queryTable" Target="../queryTables/queryTable82.xml"/><Relationship Id="rId130" Type="http://schemas.openxmlformats.org/officeDocument/2006/relationships/queryTable" Target="../queryTables/queryTable126.xml"/><Relationship Id="rId151" Type="http://schemas.openxmlformats.org/officeDocument/2006/relationships/queryTable" Target="../queryTables/queryTable147.xml"/><Relationship Id="rId172" Type="http://schemas.openxmlformats.org/officeDocument/2006/relationships/queryTable" Target="../queryTables/queryTable168.xml"/><Relationship Id="rId193" Type="http://schemas.openxmlformats.org/officeDocument/2006/relationships/queryTable" Target="../queryTables/queryTable189.xml"/><Relationship Id="rId13" Type="http://schemas.openxmlformats.org/officeDocument/2006/relationships/queryTable" Target="../queryTables/queryTable9.xml"/><Relationship Id="rId109" Type="http://schemas.openxmlformats.org/officeDocument/2006/relationships/queryTable" Target="../queryTables/queryTable105.xml"/><Relationship Id="rId34" Type="http://schemas.openxmlformats.org/officeDocument/2006/relationships/queryTable" Target="../queryTables/queryTable30.xml"/><Relationship Id="rId55" Type="http://schemas.openxmlformats.org/officeDocument/2006/relationships/queryTable" Target="../queryTables/queryTable51.xml"/><Relationship Id="rId76" Type="http://schemas.openxmlformats.org/officeDocument/2006/relationships/queryTable" Target="../queryTables/queryTable72.xml"/><Relationship Id="rId97" Type="http://schemas.openxmlformats.org/officeDocument/2006/relationships/queryTable" Target="../queryTables/queryTable93.xml"/><Relationship Id="rId120" Type="http://schemas.openxmlformats.org/officeDocument/2006/relationships/queryTable" Target="../queryTables/queryTable116.xml"/><Relationship Id="rId141" Type="http://schemas.openxmlformats.org/officeDocument/2006/relationships/queryTable" Target="../queryTables/queryTable137.xml"/><Relationship Id="rId7" Type="http://schemas.openxmlformats.org/officeDocument/2006/relationships/queryTable" Target="../queryTables/queryTable3.xml"/><Relationship Id="rId162" Type="http://schemas.openxmlformats.org/officeDocument/2006/relationships/queryTable" Target="../queryTables/queryTable158.xml"/><Relationship Id="rId183" Type="http://schemas.openxmlformats.org/officeDocument/2006/relationships/queryTable" Target="../queryTables/queryTable179.xml"/><Relationship Id="rId24" Type="http://schemas.openxmlformats.org/officeDocument/2006/relationships/queryTable" Target="../queryTables/queryTable20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66" Type="http://schemas.openxmlformats.org/officeDocument/2006/relationships/queryTable" Target="../queryTables/queryTable62.xml"/><Relationship Id="rId87" Type="http://schemas.openxmlformats.org/officeDocument/2006/relationships/queryTable" Target="../queryTables/queryTable83.xml"/><Relationship Id="rId110" Type="http://schemas.openxmlformats.org/officeDocument/2006/relationships/queryTable" Target="../queryTables/queryTable106.xml"/><Relationship Id="rId115" Type="http://schemas.openxmlformats.org/officeDocument/2006/relationships/queryTable" Target="../queryTables/queryTable111.xml"/><Relationship Id="rId131" Type="http://schemas.openxmlformats.org/officeDocument/2006/relationships/queryTable" Target="../queryTables/queryTable127.xml"/><Relationship Id="rId136" Type="http://schemas.openxmlformats.org/officeDocument/2006/relationships/queryTable" Target="../queryTables/queryTable132.xml"/><Relationship Id="rId157" Type="http://schemas.openxmlformats.org/officeDocument/2006/relationships/queryTable" Target="../queryTables/queryTable153.xml"/><Relationship Id="rId178" Type="http://schemas.openxmlformats.org/officeDocument/2006/relationships/queryTable" Target="../queryTables/queryTable174.xml"/><Relationship Id="rId61" Type="http://schemas.openxmlformats.org/officeDocument/2006/relationships/queryTable" Target="../queryTables/queryTable57.xml"/><Relationship Id="rId82" Type="http://schemas.openxmlformats.org/officeDocument/2006/relationships/queryTable" Target="../queryTables/queryTable78.xml"/><Relationship Id="rId152" Type="http://schemas.openxmlformats.org/officeDocument/2006/relationships/queryTable" Target="../queryTables/queryTable148.xml"/><Relationship Id="rId173" Type="http://schemas.openxmlformats.org/officeDocument/2006/relationships/queryTable" Target="../queryTables/queryTable169.xml"/><Relationship Id="rId194" Type="http://schemas.openxmlformats.org/officeDocument/2006/relationships/queryTable" Target="../queryTables/queryTable190.xml"/><Relationship Id="rId199" Type="http://schemas.openxmlformats.org/officeDocument/2006/relationships/queryTable" Target="../queryTables/queryTable195.xml"/><Relationship Id="rId203" Type="http://schemas.openxmlformats.org/officeDocument/2006/relationships/queryTable" Target="../queryTables/queryTable199.xml"/><Relationship Id="rId19" Type="http://schemas.openxmlformats.org/officeDocument/2006/relationships/queryTable" Target="../queryTables/queryTable15.xml"/><Relationship Id="rId14" Type="http://schemas.openxmlformats.org/officeDocument/2006/relationships/queryTable" Target="../queryTables/queryTable10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56" Type="http://schemas.openxmlformats.org/officeDocument/2006/relationships/queryTable" Target="../queryTables/queryTable52.xml"/><Relationship Id="rId77" Type="http://schemas.openxmlformats.org/officeDocument/2006/relationships/queryTable" Target="../queryTables/queryTable73.xml"/><Relationship Id="rId100" Type="http://schemas.openxmlformats.org/officeDocument/2006/relationships/queryTable" Target="../queryTables/queryTable96.xml"/><Relationship Id="rId105" Type="http://schemas.openxmlformats.org/officeDocument/2006/relationships/queryTable" Target="../queryTables/queryTable101.xml"/><Relationship Id="rId126" Type="http://schemas.openxmlformats.org/officeDocument/2006/relationships/queryTable" Target="../queryTables/queryTable122.xml"/><Relationship Id="rId147" Type="http://schemas.openxmlformats.org/officeDocument/2006/relationships/queryTable" Target="../queryTables/queryTable143.xml"/><Relationship Id="rId168" Type="http://schemas.openxmlformats.org/officeDocument/2006/relationships/queryTable" Target="../queryTables/queryTable164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93" Type="http://schemas.openxmlformats.org/officeDocument/2006/relationships/queryTable" Target="../queryTables/queryTable89.xml"/><Relationship Id="rId98" Type="http://schemas.openxmlformats.org/officeDocument/2006/relationships/queryTable" Target="../queryTables/queryTable94.xml"/><Relationship Id="rId121" Type="http://schemas.openxmlformats.org/officeDocument/2006/relationships/queryTable" Target="../queryTables/queryTable117.xml"/><Relationship Id="rId142" Type="http://schemas.openxmlformats.org/officeDocument/2006/relationships/queryTable" Target="../queryTables/queryTable138.xml"/><Relationship Id="rId163" Type="http://schemas.openxmlformats.org/officeDocument/2006/relationships/queryTable" Target="../queryTables/queryTable159.xml"/><Relationship Id="rId184" Type="http://schemas.openxmlformats.org/officeDocument/2006/relationships/queryTable" Target="../queryTables/queryTable180.xml"/><Relationship Id="rId189" Type="http://schemas.openxmlformats.org/officeDocument/2006/relationships/queryTable" Target="../queryTables/queryTable185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21.xml"/><Relationship Id="rId46" Type="http://schemas.openxmlformats.org/officeDocument/2006/relationships/queryTable" Target="../queryTables/queryTable42.xml"/><Relationship Id="rId67" Type="http://schemas.openxmlformats.org/officeDocument/2006/relationships/queryTable" Target="../queryTables/queryTable63.xml"/><Relationship Id="rId116" Type="http://schemas.openxmlformats.org/officeDocument/2006/relationships/queryTable" Target="../queryTables/queryTable112.xml"/><Relationship Id="rId137" Type="http://schemas.openxmlformats.org/officeDocument/2006/relationships/queryTable" Target="../queryTables/queryTable133.xml"/><Relationship Id="rId158" Type="http://schemas.openxmlformats.org/officeDocument/2006/relationships/queryTable" Target="../queryTables/queryTable154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62" Type="http://schemas.openxmlformats.org/officeDocument/2006/relationships/queryTable" Target="../queryTables/queryTable58.xml"/><Relationship Id="rId83" Type="http://schemas.openxmlformats.org/officeDocument/2006/relationships/queryTable" Target="../queryTables/queryTable79.xml"/><Relationship Id="rId88" Type="http://schemas.openxmlformats.org/officeDocument/2006/relationships/queryTable" Target="../queryTables/queryTable84.xml"/><Relationship Id="rId111" Type="http://schemas.openxmlformats.org/officeDocument/2006/relationships/queryTable" Target="../queryTables/queryTable107.xml"/><Relationship Id="rId132" Type="http://schemas.openxmlformats.org/officeDocument/2006/relationships/queryTable" Target="../queryTables/queryTable128.xml"/><Relationship Id="rId153" Type="http://schemas.openxmlformats.org/officeDocument/2006/relationships/queryTable" Target="../queryTables/queryTable149.xml"/><Relationship Id="rId174" Type="http://schemas.openxmlformats.org/officeDocument/2006/relationships/queryTable" Target="../queryTables/queryTable170.xml"/><Relationship Id="rId179" Type="http://schemas.openxmlformats.org/officeDocument/2006/relationships/queryTable" Target="../queryTables/queryTable175.xml"/><Relationship Id="rId195" Type="http://schemas.openxmlformats.org/officeDocument/2006/relationships/queryTable" Target="../queryTables/queryTable191.xml"/><Relationship Id="rId190" Type="http://schemas.openxmlformats.org/officeDocument/2006/relationships/queryTable" Target="../queryTables/queryTable186.xml"/><Relationship Id="rId204" Type="http://schemas.openxmlformats.org/officeDocument/2006/relationships/queryTable" Target="../queryTables/queryTable200.xml"/><Relationship Id="rId15" Type="http://schemas.openxmlformats.org/officeDocument/2006/relationships/queryTable" Target="../queryTables/queryTable11.xml"/><Relationship Id="rId36" Type="http://schemas.openxmlformats.org/officeDocument/2006/relationships/queryTable" Target="../queryTables/queryTable32.xml"/><Relationship Id="rId57" Type="http://schemas.openxmlformats.org/officeDocument/2006/relationships/queryTable" Target="../queryTables/queryTable53.xml"/><Relationship Id="rId106" Type="http://schemas.openxmlformats.org/officeDocument/2006/relationships/queryTable" Target="../queryTables/queryTable102.xml"/><Relationship Id="rId127" Type="http://schemas.openxmlformats.org/officeDocument/2006/relationships/queryTable" Target="../queryTables/queryTable12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52" Type="http://schemas.openxmlformats.org/officeDocument/2006/relationships/queryTable" Target="../queryTables/queryTable48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94" Type="http://schemas.openxmlformats.org/officeDocument/2006/relationships/queryTable" Target="../queryTables/queryTable90.xml"/><Relationship Id="rId99" Type="http://schemas.openxmlformats.org/officeDocument/2006/relationships/queryTable" Target="../queryTables/queryTable95.xml"/><Relationship Id="rId101" Type="http://schemas.openxmlformats.org/officeDocument/2006/relationships/queryTable" Target="../queryTables/queryTable97.xml"/><Relationship Id="rId122" Type="http://schemas.openxmlformats.org/officeDocument/2006/relationships/queryTable" Target="../queryTables/queryTable118.xml"/><Relationship Id="rId143" Type="http://schemas.openxmlformats.org/officeDocument/2006/relationships/queryTable" Target="../queryTables/queryTable139.xml"/><Relationship Id="rId148" Type="http://schemas.openxmlformats.org/officeDocument/2006/relationships/queryTable" Target="../queryTables/queryTable144.xml"/><Relationship Id="rId164" Type="http://schemas.openxmlformats.org/officeDocument/2006/relationships/queryTable" Target="../queryTables/queryTable160.xml"/><Relationship Id="rId169" Type="http://schemas.openxmlformats.org/officeDocument/2006/relationships/queryTable" Target="../queryTables/queryTable165.xml"/><Relationship Id="rId185" Type="http://schemas.openxmlformats.org/officeDocument/2006/relationships/queryTable" Target="../queryTables/queryTable18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80" Type="http://schemas.openxmlformats.org/officeDocument/2006/relationships/queryTable" Target="../queryTables/queryTable176.xml"/><Relationship Id="rId26" Type="http://schemas.openxmlformats.org/officeDocument/2006/relationships/queryTable" Target="../queryTables/queryTable22.xml"/><Relationship Id="rId47" Type="http://schemas.openxmlformats.org/officeDocument/2006/relationships/queryTable" Target="../queryTables/queryTable43.xml"/><Relationship Id="rId68" Type="http://schemas.openxmlformats.org/officeDocument/2006/relationships/queryTable" Target="../queryTables/queryTable64.xml"/><Relationship Id="rId89" Type="http://schemas.openxmlformats.org/officeDocument/2006/relationships/queryTable" Target="../queryTables/queryTable85.xml"/><Relationship Id="rId112" Type="http://schemas.openxmlformats.org/officeDocument/2006/relationships/queryTable" Target="../queryTables/queryTable108.xml"/><Relationship Id="rId133" Type="http://schemas.openxmlformats.org/officeDocument/2006/relationships/queryTable" Target="../queryTables/queryTable129.xml"/><Relationship Id="rId154" Type="http://schemas.openxmlformats.org/officeDocument/2006/relationships/queryTable" Target="../queryTables/queryTable150.xml"/><Relationship Id="rId175" Type="http://schemas.openxmlformats.org/officeDocument/2006/relationships/queryTable" Target="../queryTables/queryTable171.xml"/><Relationship Id="rId196" Type="http://schemas.openxmlformats.org/officeDocument/2006/relationships/queryTable" Target="../queryTables/queryTable192.xml"/><Relationship Id="rId200" Type="http://schemas.openxmlformats.org/officeDocument/2006/relationships/queryTable" Target="../queryTables/queryTable196.xml"/><Relationship Id="rId16" Type="http://schemas.openxmlformats.org/officeDocument/2006/relationships/queryTable" Target="../queryTables/queryTable12.xml"/><Relationship Id="rId37" Type="http://schemas.openxmlformats.org/officeDocument/2006/relationships/queryTable" Target="../queryTables/queryTable33.xml"/><Relationship Id="rId58" Type="http://schemas.openxmlformats.org/officeDocument/2006/relationships/queryTable" Target="../queryTables/queryTable54.xml"/><Relationship Id="rId79" Type="http://schemas.openxmlformats.org/officeDocument/2006/relationships/queryTable" Target="../queryTables/queryTable75.xml"/><Relationship Id="rId102" Type="http://schemas.openxmlformats.org/officeDocument/2006/relationships/queryTable" Target="../queryTables/queryTable98.xml"/><Relationship Id="rId123" Type="http://schemas.openxmlformats.org/officeDocument/2006/relationships/queryTable" Target="../queryTables/queryTable119.xml"/><Relationship Id="rId144" Type="http://schemas.openxmlformats.org/officeDocument/2006/relationships/queryTable" Target="../queryTables/queryTable140.xml"/><Relationship Id="rId90" Type="http://schemas.openxmlformats.org/officeDocument/2006/relationships/queryTable" Target="../queryTables/queryTable86.xml"/><Relationship Id="rId165" Type="http://schemas.openxmlformats.org/officeDocument/2006/relationships/queryTable" Target="../queryTables/queryTable161.xml"/><Relationship Id="rId186" Type="http://schemas.openxmlformats.org/officeDocument/2006/relationships/queryTable" Target="../queryTables/queryTable182.xml"/><Relationship Id="rId27" Type="http://schemas.openxmlformats.org/officeDocument/2006/relationships/queryTable" Target="../queryTables/queryTable23.xml"/><Relationship Id="rId48" Type="http://schemas.openxmlformats.org/officeDocument/2006/relationships/queryTable" Target="../queryTables/queryTable44.xml"/><Relationship Id="rId69" Type="http://schemas.openxmlformats.org/officeDocument/2006/relationships/queryTable" Target="../queryTables/queryTable65.xml"/><Relationship Id="rId113" Type="http://schemas.openxmlformats.org/officeDocument/2006/relationships/queryTable" Target="../queryTables/queryTable109.xml"/><Relationship Id="rId134" Type="http://schemas.openxmlformats.org/officeDocument/2006/relationships/queryTable" Target="../queryTables/queryTable130.xml"/><Relationship Id="rId80" Type="http://schemas.openxmlformats.org/officeDocument/2006/relationships/queryTable" Target="../queryTables/queryTable76.xml"/><Relationship Id="rId155" Type="http://schemas.openxmlformats.org/officeDocument/2006/relationships/queryTable" Target="../queryTables/queryTable151.xml"/><Relationship Id="rId176" Type="http://schemas.openxmlformats.org/officeDocument/2006/relationships/queryTable" Target="../queryTables/queryTable172.xml"/><Relationship Id="rId197" Type="http://schemas.openxmlformats.org/officeDocument/2006/relationships/queryTable" Target="../queryTables/queryTable193.xml"/><Relationship Id="rId201" Type="http://schemas.openxmlformats.org/officeDocument/2006/relationships/queryTable" Target="../queryTables/queryTable197.xml"/><Relationship Id="rId17" Type="http://schemas.openxmlformats.org/officeDocument/2006/relationships/queryTable" Target="../queryTables/queryTable13.xml"/><Relationship Id="rId38" Type="http://schemas.openxmlformats.org/officeDocument/2006/relationships/queryTable" Target="../queryTables/queryTable34.xml"/><Relationship Id="rId59" Type="http://schemas.openxmlformats.org/officeDocument/2006/relationships/queryTable" Target="../queryTables/queryTable55.xml"/><Relationship Id="rId103" Type="http://schemas.openxmlformats.org/officeDocument/2006/relationships/queryTable" Target="../queryTables/queryTable99.xml"/><Relationship Id="rId124" Type="http://schemas.openxmlformats.org/officeDocument/2006/relationships/queryTable" Target="../queryTables/queryTable120.xml"/><Relationship Id="rId70" Type="http://schemas.openxmlformats.org/officeDocument/2006/relationships/queryTable" Target="../queryTables/queryTable66.xml"/><Relationship Id="rId91" Type="http://schemas.openxmlformats.org/officeDocument/2006/relationships/queryTable" Target="../queryTables/queryTable87.xml"/><Relationship Id="rId145" Type="http://schemas.openxmlformats.org/officeDocument/2006/relationships/queryTable" Target="../queryTables/queryTable141.xml"/><Relationship Id="rId166" Type="http://schemas.openxmlformats.org/officeDocument/2006/relationships/queryTable" Target="../queryTables/queryTable162.xml"/><Relationship Id="rId187" Type="http://schemas.openxmlformats.org/officeDocument/2006/relationships/queryTable" Target="../queryTables/queryTable183.xml"/><Relationship Id="rId1" Type="http://schemas.openxmlformats.org/officeDocument/2006/relationships/printerSettings" Target="../printerSettings/printerSettings1.bin"/><Relationship Id="rId28" Type="http://schemas.openxmlformats.org/officeDocument/2006/relationships/queryTable" Target="../queryTables/queryTable24.xml"/><Relationship Id="rId49" Type="http://schemas.openxmlformats.org/officeDocument/2006/relationships/queryTable" Target="../queryTables/queryTable45.xml"/><Relationship Id="rId114" Type="http://schemas.openxmlformats.org/officeDocument/2006/relationships/queryTable" Target="../queryTables/queryTable110.xml"/><Relationship Id="rId60" Type="http://schemas.openxmlformats.org/officeDocument/2006/relationships/queryTable" Target="../queryTables/queryTable56.xml"/><Relationship Id="rId81" Type="http://schemas.openxmlformats.org/officeDocument/2006/relationships/queryTable" Target="../queryTables/queryTable77.xml"/><Relationship Id="rId135" Type="http://schemas.openxmlformats.org/officeDocument/2006/relationships/queryTable" Target="../queryTables/queryTable131.xml"/><Relationship Id="rId156" Type="http://schemas.openxmlformats.org/officeDocument/2006/relationships/queryTable" Target="../queryTables/queryTable152.xml"/><Relationship Id="rId177" Type="http://schemas.openxmlformats.org/officeDocument/2006/relationships/queryTable" Target="../queryTables/queryTable173.xml"/><Relationship Id="rId198" Type="http://schemas.openxmlformats.org/officeDocument/2006/relationships/queryTable" Target="../queryTables/queryTable194.xml"/><Relationship Id="rId202" Type="http://schemas.openxmlformats.org/officeDocument/2006/relationships/queryTable" Target="../queryTables/queryTable198.xml"/><Relationship Id="rId18" Type="http://schemas.openxmlformats.org/officeDocument/2006/relationships/queryTable" Target="../queryTables/queryTable14.xml"/><Relationship Id="rId39" Type="http://schemas.openxmlformats.org/officeDocument/2006/relationships/queryTable" Target="../queryTables/queryTable35.xml"/><Relationship Id="rId50" Type="http://schemas.openxmlformats.org/officeDocument/2006/relationships/queryTable" Target="../queryTables/queryTable46.xml"/><Relationship Id="rId104" Type="http://schemas.openxmlformats.org/officeDocument/2006/relationships/queryTable" Target="../queryTables/queryTable100.xml"/><Relationship Id="rId125" Type="http://schemas.openxmlformats.org/officeDocument/2006/relationships/queryTable" Target="../queryTables/queryTable121.xml"/><Relationship Id="rId146" Type="http://schemas.openxmlformats.org/officeDocument/2006/relationships/queryTable" Target="../queryTables/queryTable142.xml"/><Relationship Id="rId167" Type="http://schemas.openxmlformats.org/officeDocument/2006/relationships/queryTable" Target="../queryTables/queryTable163.xml"/><Relationship Id="rId188" Type="http://schemas.openxmlformats.org/officeDocument/2006/relationships/queryTable" Target="../queryTables/queryTable184.xml"/><Relationship Id="rId71" Type="http://schemas.openxmlformats.org/officeDocument/2006/relationships/queryTable" Target="../queryTables/queryTable67.xml"/><Relationship Id="rId92" Type="http://schemas.openxmlformats.org/officeDocument/2006/relationships/queryTable" Target="../queryTables/queryTable8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156"/>
  <sheetViews>
    <sheetView tabSelected="1" zoomScaleNormal="100" zoomScaleSheetLayoutView="115" workbookViewId="0">
      <selection activeCell="O10" sqref="O10"/>
    </sheetView>
  </sheetViews>
  <sheetFormatPr defaultColWidth="9.1796875" defaultRowHeight="14.5" x14ac:dyDescent="0.35"/>
  <cols>
    <col min="1" max="1" width="17.26953125" style="15" bestFit="1" customWidth="1"/>
    <col min="2" max="2" width="8.7265625" style="15" customWidth="1"/>
    <col min="3" max="3" width="3.7265625" style="15" customWidth="1"/>
    <col min="4" max="4" width="7.81640625" style="4" bestFit="1" customWidth="1"/>
    <col min="5" max="5" width="7.26953125" style="4" bestFit="1" customWidth="1"/>
    <col min="6" max="6" width="3.7265625" style="15" customWidth="1"/>
    <col min="7" max="7" width="6.26953125" style="15" bestFit="1" customWidth="1"/>
    <col min="8" max="8" width="4.81640625" style="15" bestFit="1" customWidth="1"/>
    <col min="9" max="9" width="6.453125" style="15" bestFit="1" customWidth="1"/>
    <col min="10" max="10" width="5.7265625" style="6" bestFit="1" customWidth="1"/>
    <col min="11" max="11" width="6.453125" style="6" bestFit="1" customWidth="1"/>
    <col min="12" max="12" width="9.26953125" style="6" bestFit="1" customWidth="1"/>
    <col min="13" max="13" width="10" style="6" bestFit="1" customWidth="1"/>
    <col min="14" max="14" width="9.26953125" style="6" bestFit="1" customWidth="1"/>
    <col min="15" max="15" width="9.7265625" style="15" bestFit="1" customWidth="1"/>
    <col min="16" max="16" width="5" style="6" bestFit="1" customWidth="1"/>
    <col min="17" max="19" width="3.453125" style="6" bestFit="1" customWidth="1"/>
    <col min="20" max="20" width="5" style="6" bestFit="1" customWidth="1"/>
    <col min="21" max="23" width="3.453125" style="6" bestFit="1" customWidth="1"/>
    <col min="24" max="24" width="5" style="6" bestFit="1" customWidth="1"/>
    <col min="25" max="27" width="3.453125" style="6" bestFit="1" customWidth="1"/>
    <col min="28" max="28" width="5" style="6" bestFit="1" customWidth="1"/>
    <col min="29" max="29" width="6.7265625" style="6" bestFit="1" customWidth="1"/>
    <col min="30" max="30" width="9.26953125" style="15" bestFit="1" customWidth="1"/>
    <col min="31" max="16384" width="9.1796875" style="15"/>
  </cols>
  <sheetData>
    <row r="1" spans="1:31" x14ac:dyDescent="0.35">
      <c r="A1" s="34" t="s">
        <v>14</v>
      </c>
      <c r="B1" s="50">
        <v>10</v>
      </c>
      <c r="C1" s="3"/>
      <c r="D1" s="4" t="s">
        <v>16</v>
      </c>
      <c r="E1" s="4" t="s">
        <v>15</v>
      </c>
      <c r="F1" s="35"/>
      <c r="G1" s="39" t="s">
        <v>3</v>
      </c>
      <c r="H1" s="40" t="s">
        <v>1</v>
      </c>
      <c r="I1" s="41" t="s">
        <v>6</v>
      </c>
      <c r="J1" s="40" t="s">
        <v>2</v>
      </c>
      <c r="K1" s="41" t="s">
        <v>9</v>
      </c>
      <c r="L1" s="42" t="s">
        <v>27</v>
      </c>
      <c r="M1" s="43" t="s">
        <v>10</v>
      </c>
      <c r="N1" s="42" t="s">
        <v>17</v>
      </c>
      <c r="O1" s="41" t="s">
        <v>18</v>
      </c>
      <c r="P1" s="44">
        <v>1</v>
      </c>
      <c r="Q1" s="43">
        <v>2</v>
      </c>
      <c r="R1" s="44">
        <v>3</v>
      </c>
      <c r="S1" s="43">
        <v>4</v>
      </c>
      <c r="T1" s="44">
        <v>5</v>
      </c>
      <c r="U1" s="43">
        <v>6</v>
      </c>
      <c r="V1" s="44">
        <v>7</v>
      </c>
      <c r="W1" s="43">
        <v>8</v>
      </c>
      <c r="X1" s="44">
        <v>9</v>
      </c>
      <c r="Y1" s="43">
        <v>10</v>
      </c>
      <c r="Z1" s="44">
        <v>11</v>
      </c>
      <c r="AA1" s="43">
        <v>12</v>
      </c>
      <c r="AB1" s="44">
        <v>13</v>
      </c>
      <c r="AC1" s="43" t="s">
        <v>11</v>
      </c>
      <c r="AD1" s="45" t="s">
        <v>19</v>
      </c>
    </row>
    <row r="2" spans="1:31" x14ac:dyDescent="0.35">
      <c r="A2" s="38" t="s">
        <v>7</v>
      </c>
      <c r="B2" s="51">
        <v>0</v>
      </c>
      <c r="C2" s="2"/>
      <c r="D2" s="4">
        <v>-90</v>
      </c>
      <c r="E2" s="4">
        <v>1.0808590906</v>
      </c>
      <c r="F2" s="14"/>
      <c r="G2" s="13">
        <v>1</v>
      </c>
      <c r="H2" s="17">
        <v>90</v>
      </c>
      <c r="I2" s="14">
        <f t="shared" ref="I2:I14" si="0">$B$9*(1+SIN(RADIANS(H2)))</f>
        <v>10</v>
      </c>
      <c r="J2" s="20">
        <f t="shared" ref="J2:J14" si="1">I2/$I$2</f>
        <v>1</v>
      </c>
      <c r="K2" s="14">
        <f t="shared" ref="K2:K14" si="2">((90-H2)/180)*PI()*$B$9</f>
        <v>0</v>
      </c>
      <c r="L2" s="18">
        <f t="shared" ref="L2:L14" si="3">($B$8+$B$9-I2+$B$2)*10</f>
        <v>250</v>
      </c>
      <c r="M2" s="14">
        <v>12.7926503366667</v>
      </c>
      <c r="N2" s="18">
        <v>400</v>
      </c>
      <c r="O2" s="3">
        <f>MAX(_xlfn.AGGREGATE(4,6,P2:AB2),0)</f>
        <v>400</v>
      </c>
      <c r="P2" s="17">
        <f>IF(ISNUMBER(INDEX($N$2:$N$14,MATCH(P$1,$G$2:$G$14,0))),INDEX($N$2:$N$14,MATCH(P$1,$G$2:$G$14,0)),"-")</f>
        <v>400</v>
      </c>
      <c r="Q2" s="3" t="str">
        <f t="shared" ref="Q2:AB2" si="4">IFERROR(Q3-($B$11*ABS($K3-$K2)/(0.01*AVERAGE($M2:$M3)))-(($I2-$I3)*$B$12),"--")</f>
        <v>--</v>
      </c>
      <c r="R2" s="17" t="str">
        <f t="shared" si="4"/>
        <v>--</v>
      </c>
      <c r="S2" s="3" t="str">
        <f t="shared" si="4"/>
        <v>--</v>
      </c>
      <c r="T2" s="17">
        <f t="shared" si="4"/>
        <v>330.95301065978089</v>
      </c>
      <c r="U2" s="3" t="str">
        <f t="shared" si="4"/>
        <v>--</v>
      </c>
      <c r="V2" s="17" t="str">
        <f t="shared" si="4"/>
        <v>--</v>
      </c>
      <c r="W2" s="3" t="str">
        <f t="shared" si="4"/>
        <v>--</v>
      </c>
      <c r="X2" s="17">
        <f t="shared" si="4"/>
        <v>214.40006989043007</v>
      </c>
      <c r="Y2" s="3" t="str">
        <f t="shared" si="4"/>
        <v>--</v>
      </c>
      <c r="Z2" s="17" t="str">
        <f t="shared" si="4"/>
        <v>--</v>
      </c>
      <c r="AA2" s="3" t="str">
        <f t="shared" si="4"/>
        <v>--</v>
      </c>
      <c r="AB2" s="17">
        <f t="shared" si="4"/>
        <v>144.2086646097676</v>
      </c>
      <c r="AC2" s="3">
        <f>O2*RADIANS(15/2)*$B$10*SIN(RADIANS(H2))</f>
        <v>253.94540616517492</v>
      </c>
      <c r="AD2" s="46">
        <f>((((($B$7*($B$8+$B$9-$I2))-IF(($B$1*($B$8+$B$2+$B$9-$I2))&gt;0,($B$1*($B$8+$B$2+$B$9-$I2)),0))*$B$6)+IF(($B$1*($B$8+$B$2+$B$9-$I2))&gt;0,($B$1*($B$8+$B$2+$B$9-$I2)),0))*COS(RADIANS($H2))*COS(RADIANS($H2)))+(($B$7*($B$8+$B$9-$I2))*SIN(RADIANS($H2))*SIN(RADIANS($H2)))</f>
        <v>500</v>
      </c>
      <c r="AE2" s="58"/>
    </row>
    <row r="3" spans="1:31" x14ac:dyDescent="0.35">
      <c r="A3" s="34" t="s">
        <v>8</v>
      </c>
      <c r="B3" s="52">
        <v>45</v>
      </c>
      <c r="C3" s="2"/>
      <c r="D3" s="4">
        <v>-88.868494572000003</v>
      </c>
      <c r="E3" s="4">
        <v>1.0808304022999999</v>
      </c>
      <c r="F3" s="14"/>
      <c r="G3" s="13">
        <v>2</v>
      </c>
      <c r="H3" s="17">
        <f>H2-15</f>
        <v>75</v>
      </c>
      <c r="I3" s="14">
        <f t="shared" si="0"/>
        <v>9.8296291314453406</v>
      </c>
      <c r="J3" s="20">
        <f t="shared" si="1"/>
        <v>0.9829629131445341</v>
      </c>
      <c r="K3" s="14">
        <f t="shared" si="2"/>
        <v>1.308996938995747</v>
      </c>
      <c r="L3" s="18">
        <f t="shared" si="3"/>
        <v>251.70370868554659</v>
      </c>
      <c r="M3" s="14">
        <v>13.012606553333301</v>
      </c>
      <c r="N3" s="18" t="s">
        <v>12</v>
      </c>
      <c r="O3" s="3">
        <f t="shared" ref="O3:O14" si="5">MAX(_xlfn.AGGREGATE(4,6,P3:AB3),0)</f>
        <v>398.3348193939616</v>
      </c>
      <c r="P3" s="17">
        <f t="shared" ref="P3:P14" si="6">IFERROR(P2-($B$11*ABS($K3-$K2)/(0.01*AVERAGE($M2:$M3)))+(($I2-$I3)*$B$12),"--")</f>
        <v>398.3348193939616</v>
      </c>
      <c r="Q3" s="3" t="str">
        <f>IF(ISNUMBER(INDEX($N$2:$N$14,MATCH(Q$1,$G$2:$G$14,0))),INDEX($N$2:$N$14,MATCH(Q$1,$G$2:$G$14,0)),"-")</f>
        <v>-</v>
      </c>
      <c r="R3" s="17" t="str">
        <f t="shared" ref="R3:AB3" si="7">IFERROR(R4-($B$11*ABS($K4-$K3)/(0.01*AVERAGE($M3:$M4)))-(($I3-$I4)*$B$12),"--")</f>
        <v>--</v>
      </c>
      <c r="S3" s="3" t="str">
        <f t="shared" si="7"/>
        <v>--</v>
      </c>
      <c r="T3" s="17">
        <f t="shared" si="7"/>
        <v>339.43302600800564</v>
      </c>
      <c r="U3" s="3" t="str">
        <f t="shared" si="7"/>
        <v>--</v>
      </c>
      <c r="V3" s="17" t="str">
        <f t="shared" si="7"/>
        <v>--</v>
      </c>
      <c r="W3" s="3" t="str">
        <f t="shared" si="7"/>
        <v>--</v>
      </c>
      <c r="X3" s="17">
        <f t="shared" si="7"/>
        <v>222.88008523865486</v>
      </c>
      <c r="Y3" s="3" t="str">
        <f t="shared" si="7"/>
        <v>--</v>
      </c>
      <c r="Z3" s="17" t="str">
        <f t="shared" si="7"/>
        <v>--</v>
      </c>
      <c r="AA3" s="3" t="str">
        <f t="shared" si="7"/>
        <v>--</v>
      </c>
      <c r="AB3" s="17">
        <f t="shared" si="7"/>
        <v>152.68867995799238</v>
      </c>
      <c r="AC3" s="3">
        <f t="shared" ref="AC3:AC13" si="8">O3*RADIANS(15)*$B$10*SIN(RADIANS(H3))</f>
        <v>488.54257160955143</v>
      </c>
      <c r="AD3" s="46">
        <f t="shared" ref="AD3:AD14" si="9">((((($B$7*($B$8+$B$9-$I3))-IF(($B$1*($B$8+$B$2+$B$9-$I3))&gt;0,($B$1*($B$8+$B$2+$B$9-$I3)),0))*$B$6)+IF(($B$1*($B$8+$B$2+$B$9-$I3))&gt;0,($B$1*($B$8+$B$2+$B$9-$I3)),0))*COS(RADIANS($H3))*COS(RADIANS($H3)))+(($B$7*($B$8+$B$9-$I3))*SIN(RADIANS($H3))*SIN(RADIANS($H3)))</f>
        <v>494.97694168681682</v>
      </c>
      <c r="AE3" s="58"/>
    </row>
    <row r="4" spans="1:31" x14ac:dyDescent="0.35">
      <c r="A4" s="47" t="s">
        <v>24</v>
      </c>
      <c r="B4" s="53">
        <v>0.3</v>
      </c>
      <c r="C4" s="2"/>
      <c r="D4" s="4">
        <v>-87.736989143000002</v>
      </c>
      <c r="E4" s="4">
        <v>1.0823404285</v>
      </c>
      <c r="F4" s="14"/>
      <c r="G4" s="13">
        <v>3</v>
      </c>
      <c r="H4" s="17">
        <f t="shared" ref="H4:H14" si="10">H3-15</f>
        <v>60</v>
      </c>
      <c r="I4" s="14">
        <f t="shared" si="0"/>
        <v>9.3301270189221928</v>
      </c>
      <c r="J4" s="20">
        <f t="shared" si="1"/>
        <v>0.9330127018922193</v>
      </c>
      <c r="K4" s="14">
        <f t="shared" si="2"/>
        <v>2.617993877991494</v>
      </c>
      <c r="L4" s="18">
        <f t="shared" si="3"/>
        <v>256.6987298107781</v>
      </c>
      <c r="M4" s="14">
        <v>13.606858937999998</v>
      </c>
      <c r="N4" s="18" t="s">
        <v>12</v>
      </c>
      <c r="O4" s="3">
        <f t="shared" si="5"/>
        <v>403.40741903303206</v>
      </c>
      <c r="P4" s="17">
        <f t="shared" si="6"/>
        <v>403.40741903303206</v>
      </c>
      <c r="Q4" s="3" t="str">
        <f t="shared" ref="Q4:Q14" si="11">IFERROR(Q3-($B$11*ABS($K4-$K3)/(0.01*AVERAGE($M3:$M4)))+(($I3-$I4)*$B$12),"--")</f>
        <v>--</v>
      </c>
      <c r="R4" s="17" t="str">
        <f>IF(ISNUMBER(INDEX($N$2:$N$14,MATCH(R$1,$G$2:$G$14,0))),INDEX($N$2:$N$14,MATCH(R$1,$G$2:$G$14,0)),"-")</f>
        <v>-</v>
      </c>
      <c r="S4" s="3" t="str">
        <f t="shared" ref="S4:AB4" si="12">IFERROR(S5-($B$11*ABS($K5-$K4)/(0.01*AVERAGE($M4:$M5)))-(($I4-$I5)*$B$12),"--")</f>
        <v>--</v>
      </c>
      <c r="T4" s="17">
        <f t="shared" si="12"/>
        <v>354.34051086986113</v>
      </c>
      <c r="U4" s="3" t="str">
        <f t="shared" si="12"/>
        <v>--</v>
      </c>
      <c r="V4" s="17" t="str">
        <f t="shared" si="12"/>
        <v>--</v>
      </c>
      <c r="W4" s="3" t="str">
        <f t="shared" si="12"/>
        <v>--</v>
      </c>
      <c r="X4" s="17">
        <f t="shared" si="12"/>
        <v>237.78757010051032</v>
      </c>
      <c r="Y4" s="3" t="str">
        <f t="shared" si="12"/>
        <v>--</v>
      </c>
      <c r="Z4" s="17" t="str">
        <f t="shared" si="12"/>
        <v>--</v>
      </c>
      <c r="AA4" s="3" t="str">
        <f t="shared" si="12"/>
        <v>--</v>
      </c>
      <c r="AB4" s="17">
        <f t="shared" si="12"/>
        <v>167.59616481984784</v>
      </c>
      <c r="AC4" s="3">
        <f t="shared" si="8"/>
        <v>443.59319785274732</v>
      </c>
      <c r="AD4" s="46">
        <f t="shared" si="9"/>
        <v>481.31011839520897</v>
      </c>
      <c r="AE4" s="58"/>
    </row>
    <row r="5" spans="1:31" x14ac:dyDescent="0.35">
      <c r="A5" s="47" t="s">
        <v>25</v>
      </c>
      <c r="B5" s="53">
        <v>0.3</v>
      </c>
      <c r="C5" s="2"/>
      <c r="D5" s="4">
        <v>-86.605483715000005</v>
      </c>
      <c r="E5" s="4">
        <v>1.0853891693</v>
      </c>
      <c r="F5" s="14"/>
      <c r="G5" s="13">
        <v>4</v>
      </c>
      <c r="H5" s="17">
        <f t="shared" si="10"/>
        <v>45</v>
      </c>
      <c r="I5" s="14">
        <f t="shared" si="0"/>
        <v>8.5355339059327378</v>
      </c>
      <c r="J5" s="20">
        <f t="shared" si="1"/>
        <v>0.85355339059327373</v>
      </c>
      <c r="K5" s="14">
        <f t="shared" si="2"/>
        <v>3.9269908169872414</v>
      </c>
      <c r="L5" s="18">
        <f t="shared" si="3"/>
        <v>264.64466094067262</v>
      </c>
      <c r="M5" s="14">
        <v>14.460316654</v>
      </c>
      <c r="N5" s="18" t="s">
        <v>12</v>
      </c>
      <c r="O5" s="3">
        <f t="shared" si="5"/>
        <v>414.63548127951003</v>
      </c>
      <c r="P5" s="17">
        <f t="shared" si="6"/>
        <v>414.63548127951003</v>
      </c>
      <c r="Q5" s="3" t="str">
        <f t="shared" si="11"/>
        <v>--</v>
      </c>
      <c r="R5" s="17" t="str">
        <f t="shared" ref="R5:R14" si="13">IFERROR(R4-($B$11*ABS($K5-$K4)/(0.01*AVERAGE($M4:$M5)))+(($I4-$I5)*$B$12),"--")</f>
        <v>--</v>
      </c>
      <c r="S5" s="3" t="str">
        <f>IF(ISNUMBER(INDEX($N$2:$N$14,MATCH(S$1,$G$2:$G$14,0))),INDEX($N$2:$N$14,MATCH(S$1,$G$2:$G$14,0)),"-")</f>
        <v>-</v>
      </c>
      <c r="T5" s="17">
        <f t="shared" ref="T5:AB5" si="14">IFERROR(T6-($B$11*ABS($K6-$K5)/(0.01*AVERAGE($M5:$M6)))-(($I5-$I6)*$B$12),"--")</f>
        <v>374.89617314296135</v>
      </c>
      <c r="U5" s="3" t="str">
        <f t="shared" si="14"/>
        <v>--</v>
      </c>
      <c r="V5" s="17" t="str">
        <f t="shared" si="14"/>
        <v>--</v>
      </c>
      <c r="W5" s="3" t="str">
        <f t="shared" si="14"/>
        <v>--</v>
      </c>
      <c r="X5" s="17">
        <f t="shared" si="14"/>
        <v>258.34323237361053</v>
      </c>
      <c r="Y5" s="3" t="str">
        <f t="shared" si="14"/>
        <v>--</v>
      </c>
      <c r="Z5" s="17" t="str">
        <f t="shared" si="14"/>
        <v>--</v>
      </c>
      <c r="AA5" s="3" t="str">
        <f t="shared" si="14"/>
        <v>--</v>
      </c>
      <c r="AB5" s="17">
        <f t="shared" si="14"/>
        <v>188.15182709294805</v>
      </c>
      <c r="AC5" s="3">
        <f t="shared" si="8"/>
        <v>372.27324961913808</v>
      </c>
      <c r="AD5" s="46">
        <f t="shared" si="9"/>
        <v>463.12815664617705</v>
      </c>
      <c r="AE5" s="58"/>
    </row>
    <row r="6" spans="1:31" x14ac:dyDescent="0.35">
      <c r="A6" s="47" t="s">
        <v>23</v>
      </c>
      <c r="B6" s="53">
        <v>0.5</v>
      </c>
      <c r="C6" s="2"/>
      <c r="D6" s="4">
        <v>-85.473978286999994</v>
      </c>
      <c r="E6" s="4">
        <v>1.0899766246</v>
      </c>
      <c r="F6" s="14"/>
      <c r="G6" s="13">
        <v>5</v>
      </c>
      <c r="H6" s="17">
        <f t="shared" si="10"/>
        <v>30</v>
      </c>
      <c r="I6" s="14">
        <f t="shared" si="0"/>
        <v>7.5</v>
      </c>
      <c r="J6" s="20">
        <f t="shared" si="1"/>
        <v>0.75</v>
      </c>
      <c r="K6" s="14">
        <f t="shared" si="2"/>
        <v>5.2359877559829879</v>
      </c>
      <c r="L6" s="18">
        <f t="shared" si="3"/>
        <v>275</v>
      </c>
      <c r="M6" s="14">
        <v>15.336009783999998</v>
      </c>
      <c r="N6" s="18">
        <v>400</v>
      </c>
      <c r="O6" s="3">
        <f t="shared" si="5"/>
        <v>430.95301065978089</v>
      </c>
      <c r="P6" s="17">
        <f t="shared" si="6"/>
        <v>430.95301065978089</v>
      </c>
      <c r="Q6" s="3" t="str">
        <f t="shared" si="11"/>
        <v>--</v>
      </c>
      <c r="R6" s="17" t="str">
        <f t="shared" si="13"/>
        <v>--</v>
      </c>
      <c r="S6" s="3" t="str">
        <f t="shared" ref="S6:S14" si="15">IFERROR(S5-($B$11*ABS($K6-$K5)/(0.01*AVERAGE($M5:$M6)))+(($I5-$I6)*$B$12),"--")</f>
        <v>--</v>
      </c>
      <c r="T6" s="17">
        <f>IF(ISNUMBER(INDEX($N$2:$N$14,MATCH(T$1,$G$2:$G$14,0))),INDEX($N$2:$N$14,MATCH(T$1,$G$2:$G$14,0)),"-")</f>
        <v>400</v>
      </c>
      <c r="U6" s="3" t="str">
        <f t="shared" ref="U6:AB6" si="16">IFERROR(U7-($B$11*ABS($K7-$K6)/(0.01*AVERAGE($M6:$M7)))-(($I6-$I7)*$B$12),"--")</f>
        <v>--</v>
      </c>
      <c r="V6" s="17" t="str">
        <f t="shared" si="16"/>
        <v>--</v>
      </c>
      <c r="W6" s="3" t="str">
        <f t="shared" si="16"/>
        <v>--</v>
      </c>
      <c r="X6" s="17">
        <f t="shared" si="16"/>
        <v>283.44705923064919</v>
      </c>
      <c r="Y6" s="3" t="str">
        <f t="shared" si="16"/>
        <v>--</v>
      </c>
      <c r="Z6" s="17" t="str">
        <f t="shared" si="16"/>
        <v>--</v>
      </c>
      <c r="AA6" s="3" t="str">
        <f t="shared" si="16"/>
        <v>--</v>
      </c>
      <c r="AB6" s="17">
        <f t="shared" si="16"/>
        <v>213.25565394998671</v>
      </c>
      <c r="AC6" s="3">
        <f t="shared" si="8"/>
        <v>273.59634332525746</v>
      </c>
      <c r="AD6" s="46">
        <f t="shared" si="9"/>
        <v>446.875</v>
      </c>
      <c r="AE6" s="58"/>
    </row>
    <row r="7" spans="1:31" x14ac:dyDescent="0.35">
      <c r="A7" s="38" t="s">
        <v>28</v>
      </c>
      <c r="B7" s="51">
        <v>20</v>
      </c>
      <c r="C7" s="2"/>
      <c r="D7" s="4">
        <v>-84.342472857999994</v>
      </c>
      <c r="E7" s="4">
        <v>1.0961027944999999</v>
      </c>
      <c r="F7" s="14"/>
      <c r="G7" s="13">
        <v>6</v>
      </c>
      <c r="H7" s="17">
        <f t="shared" si="10"/>
        <v>15</v>
      </c>
      <c r="I7" s="14">
        <f t="shared" si="0"/>
        <v>6.2940952255126037</v>
      </c>
      <c r="J7" s="20">
        <f t="shared" si="1"/>
        <v>0.62940952255126037</v>
      </c>
      <c r="K7" s="14">
        <f t="shared" si="2"/>
        <v>6.5449846949787363</v>
      </c>
      <c r="L7" s="18">
        <f t="shared" si="3"/>
        <v>287.05904774487396</v>
      </c>
      <c r="M7" s="14">
        <v>15.998767659999999</v>
      </c>
      <c r="N7" s="18" t="s">
        <v>12</v>
      </c>
      <c r="O7" s="3">
        <f t="shared" si="5"/>
        <v>450.89364887754044</v>
      </c>
      <c r="P7" s="17">
        <f t="shared" si="6"/>
        <v>450.89364887754044</v>
      </c>
      <c r="Q7" s="3" t="str">
        <f t="shared" si="11"/>
        <v>--</v>
      </c>
      <c r="R7" s="17" t="str">
        <f t="shared" si="13"/>
        <v>--</v>
      </c>
      <c r="S7" s="3" t="str">
        <f t="shared" si="15"/>
        <v>--</v>
      </c>
      <c r="T7" s="17">
        <f t="shared" ref="T7:T14" si="17">IFERROR(T6-($B$11*ABS($K7-$K6)/(0.01*AVERAGE($M6:$M7)))+(($I6-$I7)*$B$12),"--")</f>
        <v>419.94063821775956</v>
      </c>
      <c r="U7" s="3" t="str">
        <f>IF(ISNUMBER(INDEX($N$2:$N$14,MATCH(U$1,$G$2:$G$14,0))),INDEX($N$2:$N$14,MATCH(U$1,$G$2:$G$14,0)),"-")</f>
        <v>-</v>
      </c>
      <c r="V7" s="17" t="str">
        <f t="shared" ref="V7:AB7" si="18">IFERROR(V8-($B$11*ABS($K8-$K7)/(0.01*AVERAGE($M7:$M8)))-(($I7-$I8)*$B$12),"--")</f>
        <v>--</v>
      </c>
      <c r="W7" s="3" t="str">
        <f t="shared" si="18"/>
        <v>--</v>
      </c>
      <c r="X7" s="17">
        <f t="shared" si="18"/>
        <v>311.74261199238549</v>
      </c>
      <c r="Y7" s="3" t="str">
        <f t="shared" si="18"/>
        <v>--</v>
      </c>
      <c r="Z7" s="17" t="str">
        <f t="shared" si="18"/>
        <v>--</v>
      </c>
      <c r="AA7" s="3" t="str">
        <f t="shared" si="18"/>
        <v>--</v>
      </c>
      <c r="AB7" s="17">
        <f t="shared" si="18"/>
        <v>241.55120671172301</v>
      </c>
      <c r="AC7" s="3">
        <f t="shared" si="8"/>
        <v>148.17697136410109</v>
      </c>
      <c r="AD7" s="46">
        <f t="shared" si="9"/>
        <v>440.2032266202217</v>
      </c>
      <c r="AE7" s="58"/>
    </row>
    <row r="8" spans="1:31" x14ac:dyDescent="0.35">
      <c r="A8" s="34" t="s">
        <v>0</v>
      </c>
      <c r="B8" s="52">
        <v>30</v>
      </c>
      <c r="C8" s="14"/>
      <c r="D8" s="4">
        <v>-83.210967429999997</v>
      </c>
      <c r="E8" s="4">
        <v>1.1037676787999999</v>
      </c>
      <c r="F8" s="14"/>
      <c r="G8" s="11">
        <v>7</v>
      </c>
      <c r="H8" s="18">
        <f t="shared" si="10"/>
        <v>0</v>
      </c>
      <c r="I8" s="10">
        <f t="shared" si="0"/>
        <v>5</v>
      </c>
      <c r="J8" s="21">
        <f t="shared" si="1"/>
        <v>0.5</v>
      </c>
      <c r="K8" s="14">
        <f t="shared" si="2"/>
        <v>7.8539816339744828</v>
      </c>
      <c r="L8" s="18">
        <f t="shared" si="3"/>
        <v>300</v>
      </c>
      <c r="M8" s="14">
        <v>16.201167850000001</v>
      </c>
      <c r="N8" s="18" t="s">
        <v>12</v>
      </c>
      <c r="O8" s="3">
        <f t="shared" si="5"/>
        <v>472.71033736091812</v>
      </c>
      <c r="P8" s="17">
        <f t="shared" si="6"/>
        <v>472.71033736091812</v>
      </c>
      <c r="Q8" s="3" t="str">
        <f t="shared" si="11"/>
        <v>--</v>
      </c>
      <c r="R8" s="17" t="str">
        <f t="shared" si="13"/>
        <v>--</v>
      </c>
      <c r="S8" s="3" t="str">
        <f t="shared" si="15"/>
        <v>--</v>
      </c>
      <c r="T8" s="17">
        <f t="shared" si="17"/>
        <v>441.75732670113723</v>
      </c>
      <c r="U8" s="3" t="str">
        <f t="shared" ref="U8:U14" si="19">IFERROR(U7-($B$11*ABS($K8-$K7)/(0.01*AVERAGE($M7:$M8)))+(($I7-$I8)*$B$12),"--")</f>
        <v>--</v>
      </c>
      <c r="V8" s="17" t="str">
        <f>IF(ISNUMBER(INDEX($N$2:$N$14,MATCH(V$1,$G$2:$G$14,0))),INDEX($N$2:$N$14,MATCH(V$1,$G$2:$G$14,0)),"-")</f>
        <v>-</v>
      </c>
      <c r="W8" s="3" t="str">
        <f t="shared" ref="W8:AB8" si="20">IFERROR(W9-($B$11*ABS($K9-$K8)/(0.01*AVERAGE($M8:$M9)))-(($I8-$I9)*$B$12),"--")</f>
        <v>--</v>
      </c>
      <c r="X8" s="17">
        <f t="shared" si="20"/>
        <v>341.68973252951196</v>
      </c>
      <c r="Y8" s="3" t="str">
        <f t="shared" si="20"/>
        <v>--</v>
      </c>
      <c r="Z8" s="17" t="str">
        <f t="shared" si="20"/>
        <v>--</v>
      </c>
      <c r="AA8" s="3" t="str">
        <f t="shared" si="20"/>
        <v>--</v>
      </c>
      <c r="AB8" s="17">
        <f t="shared" si="20"/>
        <v>271.49832724884948</v>
      </c>
      <c r="AC8" s="3">
        <f t="shared" si="8"/>
        <v>0</v>
      </c>
      <c r="AD8" s="46">
        <f t="shared" si="9"/>
        <v>450</v>
      </c>
      <c r="AE8" s="58"/>
    </row>
    <row r="9" spans="1:31" x14ac:dyDescent="0.35">
      <c r="A9" s="47" t="s">
        <v>13</v>
      </c>
      <c r="B9" s="54">
        <v>5</v>
      </c>
      <c r="C9" s="2"/>
      <c r="D9" s="4">
        <v>-82.079462002</v>
      </c>
      <c r="E9" s="4">
        <v>1.1129712777</v>
      </c>
      <c r="F9" s="14"/>
      <c r="G9" s="11">
        <v>8</v>
      </c>
      <c r="H9" s="18">
        <f t="shared" si="10"/>
        <v>-15</v>
      </c>
      <c r="I9" s="10">
        <f t="shared" si="0"/>
        <v>3.7059047744873963</v>
      </c>
      <c r="J9" s="21">
        <f t="shared" si="1"/>
        <v>0.37059047744873963</v>
      </c>
      <c r="K9" s="14">
        <f t="shared" si="2"/>
        <v>9.1629785729702302</v>
      </c>
      <c r="L9" s="18">
        <f t="shared" si="3"/>
        <v>312.94095225512604</v>
      </c>
      <c r="M9" s="14">
        <v>15.882688701999999</v>
      </c>
      <c r="N9" s="18" t="s">
        <v>12</v>
      </c>
      <c r="O9" s="3">
        <f t="shared" si="5"/>
        <v>494.51231794782831</v>
      </c>
      <c r="P9" s="17">
        <f t="shared" si="6"/>
        <v>494.51231794782831</v>
      </c>
      <c r="Q9" s="3" t="str">
        <f t="shared" si="11"/>
        <v>--</v>
      </c>
      <c r="R9" s="17" t="str">
        <f t="shared" si="13"/>
        <v>--</v>
      </c>
      <c r="S9" s="3" t="str">
        <f t="shared" si="15"/>
        <v>--</v>
      </c>
      <c r="T9" s="17">
        <f t="shared" si="17"/>
        <v>463.55930728804742</v>
      </c>
      <c r="U9" s="3" t="str">
        <f t="shared" si="19"/>
        <v>--</v>
      </c>
      <c r="V9" s="17" t="str">
        <f t="shared" ref="V9:V14" si="21">IFERROR(V8-($B$11*ABS($K9-$K8)/(0.01*AVERAGE($M8:$M9)))+(($I8-$I9)*$B$12),"--")</f>
        <v>--</v>
      </c>
      <c r="W9" s="3" t="str">
        <f>IF(ISNUMBER(INDEX($N$2:$N$14,MATCH(W$1,$G$2:$G$14,0))),INDEX($N$2:$N$14,MATCH(W$1,$G$2:$G$14,0)),"-")</f>
        <v>-</v>
      </c>
      <c r="X9" s="17">
        <f>IFERROR(X10-($B$11*ABS($K10-$K9)/(0.01*AVERAGE($M9:$M10)))-(($I9-$I10)*$B$12),"--")</f>
        <v>371.65156096310591</v>
      </c>
      <c r="Y9" s="3" t="str">
        <f>IFERROR(Y10-($B$11*ABS($K10-$K9)/(0.01*AVERAGE($M9:$M10)))-(($I9-$I10)*$B$12),"--")</f>
        <v>--</v>
      </c>
      <c r="Z9" s="17" t="str">
        <f>IFERROR(Z10-($B$11*ABS($K10-$K9)/(0.01*AVERAGE($M9:$M10)))-(($I9-$I10)*$B$12),"--")</f>
        <v>--</v>
      </c>
      <c r="AA9" s="3" t="str">
        <f>IFERROR(AA10-($B$11*ABS($K10-$K9)/(0.01*AVERAGE($M9:$M10)))-(($I9-$I10)*$B$12),"--")</f>
        <v>--</v>
      </c>
      <c r="AB9" s="17">
        <f>IFERROR(AB10-($B$11*ABS($K10-$K9)/(0.01*AVERAGE($M9:$M10)))-(($I9-$I10)*$B$12),"--")</f>
        <v>301.46015568244343</v>
      </c>
      <c r="AC9" s="3">
        <f t="shared" si="8"/>
        <v>-162.51135441397994</v>
      </c>
      <c r="AD9" s="46">
        <f t="shared" si="9"/>
        <v>479.8929628121125</v>
      </c>
      <c r="AE9" s="58"/>
    </row>
    <row r="10" spans="1:31" x14ac:dyDescent="0.35">
      <c r="A10" s="38" t="s">
        <v>5</v>
      </c>
      <c r="B10" s="55">
        <f>B9-0.15</f>
        <v>4.8499999999999996</v>
      </c>
      <c r="C10" s="2"/>
      <c r="D10" s="4">
        <v>-80.947956572999999</v>
      </c>
      <c r="E10" s="4">
        <v>1.1237135912</v>
      </c>
      <c r="F10" s="14"/>
      <c r="G10" s="11">
        <v>9</v>
      </c>
      <c r="H10" s="18">
        <f t="shared" si="10"/>
        <v>-30</v>
      </c>
      <c r="I10" s="10">
        <f t="shared" si="0"/>
        <v>2.5</v>
      </c>
      <c r="J10" s="21">
        <f t="shared" si="1"/>
        <v>0.25</v>
      </c>
      <c r="K10" s="14">
        <f t="shared" si="2"/>
        <v>10.471975511965976</v>
      </c>
      <c r="L10" s="18">
        <f t="shared" si="3"/>
        <v>325</v>
      </c>
      <c r="M10" s="14">
        <v>15.060352315999999</v>
      </c>
      <c r="N10" s="18">
        <v>400</v>
      </c>
      <c r="O10" s="3">
        <f t="shared" si="5"/>
        <v>514.40006989043002</v>
      </c>
      <c r="P10" s="17">
        <f t="shared" si="6"/>
        <v>514.40006989043002</v>
      </c>
      <c r="Q10" s="3" t="str">
        <f t="shared" si="11"/>
        <v>--</v>
      </c>
      <c r="R10" s="17" t="str">
        <f t="shared" si="13"/>
        <v>--</v>
      </c>
      <c r="S10" s="3" t="str">
        <f t="shared" si="15"/>
        <v>--</v>
      </c>
      <c r="T10" s="17">
        <f t="shared" si="17"/>
        <v>483.44705923064919</v>
      </c>
      <c r="U10" s="3" t="str">
        <f t="shared" si="19"/>
        <v>--</v>
      </c>
      <c r="V10" s="17" t="str">
        <f t="shared" si="21"/>
        <v>--</v>
      </c>
      <c r="W10" s="3" t="str">
        <f>IFERROR(W9-($B$11*ABS($K10-$K9)/(0.01*AVERAGE($M9:$M10)))+(($I9-$I10)*$B$12),"--")</f>
        <v>--</v>
      </c>
      <c r="X10" s="17">
        <f>IF(ISNUMBER(INDEX($N$2:$N$14,MATCH(X$1,$G$2:$G$14,0))),INDEX($N$2:$N$14,MATCH(X$1,$G$2:$G$14,0)),"-")</f>
        <v>400</v>
      </c>
      <c r="Y10" s="3" t="str">
        <f>IFERROR(Y11-($B$11*ABS($K11-$K10)/(0.01*AVERAGE($M10:$M11)))-(($I10-$I11)*$B$12),"--")</f>
        <v>--</v>
      </c>
      <c r="Z10" s="17" t="str">
        <f>IFERROR(Z11-($B$11*ABS($K11-$K10)/(0.01*AVERAGE($M10:$M11)))-(($I10-$I11)*$B$12),"--")</f>
        <v>--</v>
      </c>
      <c r="AA10" s="3" t="str">
        <f>IFERROR(AA11-($B$11*ABS($K11-$K10)/(0.01*AVERAGE($M10:$M11)))-(($I10-$I11)*$B$12),"--")</f>
        <v>--</v>
      </c>
      <c r="AB10" s="17">
        <f>IFERROR(AB11-($B$11*ABS($K11-$K10)/(0.01*AVERAGE($M10:$M11)))-(($I10-$I11)*$B$12),"--")</f>
        <v>329.80859471933752</v>
      </c>
      <c r="AC10" s="3">
        <f t="shared" si="8"/>
        <v>-326.57383669929897</v>
      </c>
      <c r="AD10" s="46">
        <f t="shared" si="9"/>
        <v>528.125</v>
      </c>
      <c r="AE10" s="58"/>
    </row>
    <row r="11" spans="1:31" x14ac:dyDescent="0.35">
      <c r="A11" s="34" t="s">
        <v>21</v>
      </c>
      <c r="B11" s="50">
        <v>0.5</v>
      </c>
      <c r="C11" s="2"/>
      <c r="D11" s="4">
        <v>-79.816451145000002</v>
      </c>
      <c r="E11" s="4">
        <v>1.1359946191000001</v>
      </c>
      <c r="F11" s="14"/>
      <c r="G11" s="11">
        <v>10</v>
      </c>
      <c r="H11" s="18">
        <f t="shared" si="10"/>
        <v>-45</v>
      </c>
      <c r="I11" s="10">
        <f t="shared" si="0"/>
        <v>1.4644660940672627</v>
      </c>
      <c r="J11" s="21">
        <f t="shared" si="1"/>
        <v>0.14644660940672627</v>
      </c>
      <c r="K11" s="14">
        <f t="shared" si="2"/>
        <v>11.780972450961723</v>
      </c>
      <c r="L11" s="18">
        <f t="shared" si="3"/>
        <v>335.35533905932738</v>
      </c>
      <c r="M11" s="14">
        <v>13.96013164</v>
      </c>
      <c r="N11" s="18" t="s">
        <v>12</v>
      </c>
      <c r="O11" s="3">
        <f t="shared" si="5"/>
        <v>530.60015149050014</v>
      </c>
      <c r="P11" s="17">
        <f t="shared" si="6"/>
        <v>530.60015149050014</v>
      </c>
      <c r="Q11" s="3" t="str">
        <f t="shared" si="11"/>
        <v>--</v>
      </c>
      <c r="R11" s="17" t="str">
        <f t="shared" si="13"/>
        <v>--</v>
      </c>
      <c r="S11" s="3" t="str">
        <f t="shared" si="15"/>
        <v>--</v>
      </c>
      <c r="T11" s="17">
        <f t="shared" si="17"/>
        <v>499.64714083071931</v>
      </c>
      <c r="U11" s="3" t="str">
        <f t="shared" si="19"/>
        <v>--</v>
      </c>
      <c r="V11" s="17" t="str">
        <f t="shared" si="21"/>
        <v>--</v>
      </c>
      <c r="W11" s="3" t="str">
        <f>IFERROR(W10-($B$11*ABS($K11-$K10)/(0.01*AVERAGE($M10:$M11)))+(($I10-$I11)*$B$12),"--")</f>
        <v>--</v>
      </c>
      <c r="X11" s="17">
        <f>IFERROR(X10-($B$11*ABS($K11-$K10)/(0.01*AVERAGE($M10:$M11)))+(($I10-$I11)*$B$12),"--")</f>
        <v>416.20008160007012</v>
      </c>
      <c r="Y11" s="3" t="str">
        <f>IF(ISNUMBER(INDEX($N$2:$N$14,MATCH(Y$1,$G$2:$G$14,0))),INDEX($N$2:$N$14,MATCH(Y$1,$G$2:$G$14,0)),"-")</f>
        <v>-</v>
      </c>
      <c r="Z11" s="17" t="str">
        <f>IFERROR(Z12-($B$11*ABS($K12-$K11)/(0.01*AVERAGE($M11:$M12)))-(($I11-$I12)*$B$12),"--")</f>
        <v>--</v>
      </c>
      <c r="AA11" s="3" t="str">
        <f>IFERROR(AA12-($B$11*ABS($K12-$K11)/(0.01*AVERAGE($M11:$M12)))-(($I11-$I12)*$B$12),"--")</f>
        <v>--</v>
      </c>
      <c r="AB11" s="17">
        <f>IFERROR(AB12-($B$11*ABS($K12-$K11)/(0.01*AVERAGE($M11:$M12)))-(($I11-$I12)*$B$12),"--")</f>
        <v>355.02986935657691</v>
      </c>
      <c r="AC11" s="3">
        <f t="shared" si="8"/>
        <v>-476.39011025836362</v>
      </c>
      <c r="AD11" s="46">
        <f t="shared" si="9"/>
        <v>586.8718433538229</v>
      </c>
      <c r="AE11" s="58"/>
    </row>
    <row r="12" spans="1:31" x14ac:dyDescent="0.35">
      <c r="A12" s="38" t="s">
        <v>26</v>
      </c>
      <c r="B12" s="56">
        <v>20</v>
      </c>
      <c r="C12" s="2"/>
      <c r="D12" s="4">
        <v>-78.684945716000001</v>
      </c>
      <c r="E12" s="4">
        <v>1.1498143616000001</v>
      </c>
      <c r="F12" s="14"/>
      <c r="G12" s="11">
        <v>11</v>
      </c>
      <c r="H12" s="18">
        <f t="shared" si="10"/>
        <v>-60</v>
      </c>
      <c r="I12" s="10">
        <f t="shared" si="0"/>
        <v>0.66987298107780702</v>
      </c>
      <c r="J12" s="21">
        <f t="shared" si="1"/>
        <v>6.6987298107780702E-2</v>
      </c>
      <c r="K12" s="14">
        <f t="shared" si="2"/>
        <v>13.089969389957473</v>
      </c>
      <c r="L12" s="18">
        <f t="shared" si="3"/>
        <v>343.3012701892219</v>
      </c>
      <c r="M12" s="14">
        <v>12.837855034</v>
      </c>
      <c r="N12" s="18" t="s">
        <v>12</v>
      </c>
      <c r="O12" s="3">
        <f t="shared" si="5"/>
        <v>541.60732985623474</v>
      </c>
      <c r="P12" s="17">
        <f t="shared" si="6"/>
        <v>541.60732985623474</v>
      </c>
      <c r="Q12" s="3" t="str">
        <f t="shared" si="11"/>
        <v>--</v>
      </c>
      <c r="R12" s="17" t="str">
        <f t="shared" si="13"/>
        <v>--</v>
      </c>
      <c r="S12" s="3" t="str">
        <f t="shared" si="15"/>
        <v>--</v>
      </c>
      <c r="T12" s="17">
        <f t="shared" si="17"/>
        <v>510.65431919645391</v>
      </c>
      <c r="U12" s="3" t="str">
        <f t="shared" si="19"/>
        <v>--</v>
      </c>
      <c r="V12" s="17" t="str">
        <f t="shared" si="21"/>
        <v>--</v>
      </c>
      <c r="W12" s="3" t="str">
        <f>IFERROR(W11-($B$11*ABS($K12-$K11)/(0.01*AVERAGE($M11:$M12)))+(($I11-$I12)*$B$12),"--")</f>
        <v>--</v>
      </c>
      <c r="X12" s="17">
        <f>IFERROR(X11-($B$11*ABS($K12-$K11)/(0.01*AVERAGE($M11:$M12)))+(($I11-$I12)*$B$12),"--")</f>
        <v>427.20725996580472</v>
      </c>
      <c r="Y12" s="3" t="str">
        <f>IFERROR(Y11-($B$11*ABS($K12-$K11)/(0.01*AVERAGE($M11:$M12)))+(($I11-$I12)*$B$12),"--")</f>
        <v>--</v>
      </c>
      <c r="Z12" s="17" t="str">
        <f>IF(ISNUMBER(INDEX($N$2:$N$14,MATCH(Z$1,$G$2:$G$14,0))),INDEX($N$2:$N$14,MATCH(Z$1,$G$2:$G$14,0)),"-")</f>
        <v>-</v>
      </c>
      <c r="AA12" s="3" t="str">
        <f>IFERROR(AA13-($B$11*ABS($K13-$K12)/(0.01*AVERAGE($M12:$M13)))-(($I12-$I13)*$B$12),"--")</f>
        <v>--</v>
      </c>
      <c r="AB12" s="17">
        <f>IFERROR(AB13-($B$11*ABS($K13-$K12)/(0.01*AVERAGE($M12:$M13)))-(($I12-$I13)*$B$12),"--")</f>
        <v>375.80641551042049</v>
      </c>
      <c r="AC12" s="3">
        <f t="shared" si="8"/>
        <v>-595.56001227568481</v>
      </c>
      <c r="AD12" s="46">
        <f t="shared" si="9"/>
        <v>643.68988160479103</v>
      </c>
      <c r="AE12" s="58"/>
    </row>
    <row r="13" spans="1:31" x14ac:dyDescent="0.35">
      <c r="A13" s="34" t="s">
        <v>20</v>
      </c>
      <c r="B13" s="29">
        <f>2*SUM(AC2:AC14)</f>
        <v>-1192.9084056293459</v>
      </c>
      <c r="C13" s="2"/>
      <c r="D13" s="4">
        <v>-77.553440288000004</v>
      </c>
      <c r="E13" s="4">
        <v>1.1651728186999999</v>
      </c>
      <c r="F13" s="14"/>
      <c r="G13" s="11">
        <v>12</v>
      </c>
      <c r="H13" s="18">
        <f t="shared" si="10"/>
        <v>-75</v>
      </c>
      <c r="I13" s="10">
        <f t="shared" si="0"/>
        <v>0.17037086855465844</v>
      </c>
      <c r="J13" s="21">
        <f t="shared" si="1"/>
        <v>1.7037086855465844E-2</v>
      </c>
      <c r="K13" s="14">
        <f t="shared" si="2"/>
        <v>14.398966328953218</v>
      </c>
      <c r="L13" s="18">
        <f t="shared" si="3"/>
        <v>348.29629131445347</v>
      </c>
      <c r="M13" s="14">
        <v>11.9953021</v>
      </c>
      <c r="N13" s="18" t="s">
        <v>12</v>
      </c>
      <c r="O13" s="3">
        <f t="shared" si="5"/>
        <v>546.3262060929186</v>
      </c>
      <c r="P13" s="17">
        <f t="shared" si="6"/>
        <v>546.3262060929186</v>
      </c>
      <c r="Q13" s="3" t="str">
        <f t="shared" si="11"/>
        <v>--</v>
      </c>
      <c r="R13" s="17" t="str">
        <f t="shared" si="13"/>
        <v>--</v>
      </c>
      <c r="S13" s="3" t="str">
        <f t="shared" si="15"/>
        <v>--</v>
      </c>
      <c r="T13" s="17">
        <f t="shared" si="17"/>
        <v>515.37319543313788</v>
      </c>
      <c r="U13" s="3" t="str">
        <f t="shared" si="19"/>
        <v>--</v>
      </c>
      <c r="V13" s="17" t="str">
        <f t="shared" si="21"/>
        <v>--</v>
      </c>
      <c r="W13" s="3" t="str">
        <f>IFERROR(W12-($B$11*ABS($K13-$K12)/(0.01*AVERAGE($M12:$M13)))+(($I12-$I13)*$B$12),"--")</f>
        <v>--</v>
      </c>
      <c r="X13" s="17">
        <f>IFERROR(X12-($B$11*ABS($K13-$K12)/(0.01*AVERAGE($M12:$M13)))+(($I12-$I13)*$B$12),"--")</f>
        <v>431.92613620248869</v>
      </c>
      <c r="Y13" s="3" t="str">
        <f>IFERROR(Y12-($B$11*ABS($K13-$K12)/(0.01*AVERAGE($M12:$M13)))+(($I12-$I13)*$B$12),"--")</f>
        <v>--</v>
      </c>
      <c r="Z13" s="17" t="str">
        <f>IFERROR(Z12-($B$11*ABS($K13-$K12)/(0.01*AVERAGE($M12:$M13)))+(($I12-$I13)*$B$12),"--")</f>
        <v>--</v>
      </c>
      <c r="AA13" s="3" t="str">
        <f>IF(ISNUMBER(INDEX($N$2:$N$14,MATCH(AA$1,$G$2:$G$14,0))),INDEX($N$2:$N$14,MATCH(AA$1,$G$2:$G$14,0)),"-")</f>
        <v>-</v>
      </c>
      <c r="AB13" s="17">
        <f>IFERROR(AB14-($B$11*ABS($K14-$K13)/(0.01*AVERAGE($M13:$M14)))-(($I13-$I14)*$B$12),"--")</f>
        <v>391.06762377466248</v>
      </c>
      <c r="AC13" s="3">
        <f t="shared" si="8"/>
        <v>-670.04840317097887</v>
      </c>
      <c r="AD13" s="46">
        <f t="shared" si="9"/>
        <v>684.92686888084916</v>
      </c>
      <c r="AE13" s="58"/>
    </row>
    <row r="14" spans="1:31" x14ac:dyDescent="0.35">
      <c r="A14" s="36" t="s">
        <v>4</v>
      </c>
      <c r="B14" s="37">
        <f>(($B$9^2)-((0.01*AVERAGE($M$2:$M$14)+$B$10)^2))/($B$9^2)</f>
        <v>3.7374753706204446E-3</v>
      </c>
      <c r="C14" s="2"/>
      <c r="D14" s="4">
        <v>-76.421934859999993</v>
      </c>
      <c r="E14" s="4">
        <v>1.1820699902</v>
      </c>
      <c r="F14" s="14"/>
      <c r="G14" s="12">
        <v>13</v>
      </c>
      <c r="H14" s="19">
        <f t="shared" si="10"/>
        <v>-90</v>
      </c>
      <c r="I14" s="1">
        <f t="shared" si="0"/>
        <v>0</v>
      </c>
      <c r="J14" s="22">
        <f t="shared" si="1"/>
        <v>0</v>
      </c>
      <c r="K14" s="24">
        <f t="shared" si="2"/>
        <v>15.707963267948966</v>
      </c>
      <c r="L14" s="19">
        <f t="shared" si="3"/>
        <v>350</v>
      </c>
      <c r="M14" s="24">
        <v>11.6971266316667</v>
      </c>
      <c r="N14" s="19">
        <v>400</v>
      </c>
      <c r="O14" s="31">
        <f t="shared" si="5"/>
        <v>544.20866460976742</v>
      </c>
      <c r="P14" s="30">
        <f t="shared" si="6"/>
        <v>544.20866460976742</v>
      </c>
      <c r="Q14" s="31" t="str">
        <f t="shared" si="11"/>
        <v>--</v>
      </c>
      <c r="R14" s="30" t="str">
        <f t="shared" si="13"/>
        <v>--</v>
      </c>
      <c r="S14" s="31" t="str">
        <f t="shared" si="15"/>
        <v>--</v>
      </c>
      <c r="T14" s="30">
        <f t="shared" si="17"/>
        <v>513.25565394998671</v>
      </c>
      <c r="U14" s="31" t="str">
        <f t="shared" si="19"/>
        <v>--</v>
      </c>
      <c r="V14" s="30" t="str">
        <f t="shared" si="21"/>
        <v>--</v>
      </c>
      <c r="W14" s="31" t="str">
        <f>IFERROR(W13-($B$11*ABS($K14-$K13)/(0.01*AVERAGE($M13:$M14)))+(($I13-$I14)*$B$12),"--")</f>
        <v>--</v>
      </c>
      <c r="X14" s="30">
        <f>IFERROR(X13-($B$11*ABS($K14-$K13)/(0.01*AVERAGE($M13:$M14)))+(($I13-$I14)*$B$12),"--")</f>
        <v>429.80859471933752</v>
      </c>
      <c r="Y14" s="31" t="str">
        <f>IFERROR(Y13-($B$11*ABS($K14-$K13)/(0.01*AVERAGE($M13:$M14)))+(($I13-$I14)*$B$12),"--")</f>
        <v>--</v>
      </c>
      <c r="Z14" s="30" t="str">
        <f>IFERROR(Z13-($B$11*ABS($K14-$K13)/(0.01*AVERAGE($M13:$M14)))+(($I13-$I14)*$B$12),"--")</f>
        <v>--</v>
      </c>
      <c r="AA14" s="31" t="str">
        <f>IFERROR(AA13-($B$11*ABS($K14-$K13)/(0.01*AVERAGE($M13:$M14)))+(($I13-$I14)*$B$12),"--")</f>
        <v>--</v>
      </c>
      <c r="AB14" s="30">
        <f>IF(ISNUMBER(INDEX($N$2:$N$14,MATCH(AB$1,$G$2:$G$14,0))),INDEX($N$2:$N$14,MATCH(AB$1,$G$2:$G$14,0)),"-")</f>
        <v>400</v>
      </c>
      <c r="AC14" s="31">
        <f>O14*RADIANS(15/2)*$B$10*SIN(RADIANS(H14))</f>
        <v>-345.49822593233711</v>
      </c>
      <c r="AD14" s="48">
        <f t="shared" si="9"/>
        <v>700</v>
      </c>
      <c r="AE14" s="58"/>
    </row>
    <row r="15" spans="1:31" x14ac:dyDescent="0.35">
      <c r="A15" s="38" t="s">
        <v>22</v>
      </c>
      <c r="B15" s="33">
        <f>-SLOPE($O$2:$O$14,$I$2:$I$14)</f>
        <v>15.481550778321489</v>
      </c>
      <c r="C15" s="2"/>
      <c r="D15" s="4">
        <v>-75.290429431000007</v>
      </c>
      <c r="E15" s="4">
        <v>1.2005058763000001</v>
      </c>
      <c r="F15" s="14"/>
      <c r="G15" s="5"/>
      <c r="H15" s="9"/>
      <c r="I15" s="10"/>
      <c r="J15" s="10"/>
      <c r="K15" s="10"/>
      <c r="L15" s="10"/>
      <c r="M15" s="57"/>
      <c r="N15" s="3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3"/>
    </row>
    <row r="16" spans="1:31" x14ac:dyDescent="0.35">
      <c r="C16" s="2"/>
      <c r="D16" s="4">
        <v>-74.158924002999996</v>
      </c>
      <c r="E16" s="4">
        <v>1.2204804768999999</v>
      </c>
      <c r="F16" s="14"/>
      <c r="G16" s="5"/>
      <c r="H16" s="9"/>
      <c r="I16" s="10"/>
      <c r="J16" s="10"/>
      <c r="K16" s="10"/>
      <c r="L16" s="10"/>
      <c r="M16" s="3"/>
      <c r="N16" s="3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</row>
    <row r="17" spans="1:28" x14ac:dyDescent="0.35">
      <c r="A17" s="26"/>
      <c r="B17" s="27"/>
      <c r="C17" s="2"/>
      <c r="D17" s="4">
        <v>-73.027418574999999</v>
      </c>
      <c r="E17" s="4">
        <v>1.2419937920999999</v>
      </c>
      <c r="F17" s="14"/>
      <c r="G17" s="5"/>
      <c r="H17" s="9"/>
      <c r="I17" s="10"/>
      <c r="J17" s="10"/>
      <c r="K17" s="10"/>
      <c r="L17" s="10"/>
      <c r="M17" s="3"/>
      <c r="N17" s="3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</row>
    <row r="18" spans="1:28" x14ac:dyDescent="0.35">
      <c r="A18" s="25"/>
      <c r="B18" s="28"/>
      <c r="C18" s="2"/>
      <c r="D18" s="4">
        <v>-71.895913145999998</v>
      </c>
      <c r="E18" s="4">
        <v>1.2650458218</v>
      </c>
      <c r="F18" s="14"/>
      <c r="G18" s="5"/>
      <c r="H18" s="9"/>
      <c r="I18" s="10"/>
      <c r="J18" s="10"/>
      <c r="K18" s="10"/>
      <c r="L18" s="10"/>
      <c r="M18" s="3"/>
      <c r="N18" s="3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</row>
    <row r="19" spans="1:28" x14ac:dyDescent="0.35">
      <c r="A19" s="60" t="s">
        <v>29</v>
      </c>
      <c r="B19" s="61"/>
      <c r="D19" s="4">
        <v>-70.764407718000001</v>
      </c>
      <c r="E19" s="4">
        <v>1.2925814153999999</v>
      </c>
      <c r="F19" s="14"/>
      <c r="G19" s="5"/>
      <c r="H19" s="9"/>
      <c r="I19" s="10"/>
      <c r="J19" s="10"/>
      <c r="K19" s="10"/>
      <c r="L19" s="10"/>
      <c r="M19" s="3"/>
      <c r="N19" s="3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</row>
    <row r="20" spans="1:28" x14ac:dyDescent="0.35">
      <c r="A20" s="13">
        <f>(100*($B$9-$B$10))</f>
        <v>15.000000000000036</v>
      </c>
      <c r="B20" s="23">
        <v>0</v>
      </c>
      <c r="D20" s="4">
        <v>-69.632902290000004</v>
      </c>
      <c r="E20" s="4">
        <v>1.3207791017999999</v>
      </c>
      <c r="F20" s="14"/>
      <c r="G20" s="5"/>
      <c r="H20" s="9"/>
      <c r="I20" s="10"/>
      <c r="J20" s="10"/>
      <c r="K20" s="10"/>
      <c r="L20" s="10"/>
      <c r="M20" s="3"/>
      <c r="N20" s="3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</row>
    <row r="21" spans="1:28" x14ac:dyDescent="0.35">
      <c r="A21" s="59">
        <f>(100*($B$9-$B$10))</f>
        <v>15.000000000000036</v>
      </c>
      <c r="B21" s="32">
        <v>1</v>
      </c>
      <c r="D21" s="4">
        <v>-68.501396861000003</v>
      </c>
      <c r="E21" s="4">
        <v>1.3496388807999999</v>
      </c>
      <c r="F21" s="14"/>
      <c r="G21" s="5"/>
      <c r="H21" s="9"/>
      <c r="I21" s="10"/>
      <c r="J21" s="10"/>
      <c r="K21" s="10"/>
      <c r="L21" s="10"/>
      <c r="M21" s="3"/>
      <c r="N21" s="3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</row>
    <row r="22" spans="1:28" x14ac:dyDescent="0.35">
      <c r="D22" s="4">
        <v>-67.369891433000006</v>
      </c>
      <c r="E22" s="4">
        <v>1.3791607525</v>
      </c>
      <c r="F22" s="14"/>
      <c r="G22" s="5"/>
      <c r="H22" s="9"/>
      <c r="I22" s="10"/>
      <c r="J22" s="10"/>
      <c r="K22" s="10"/>
      <c r="L22" s="10"/>
      <c r="M22" s="3"/>
      <c r="N22" s="3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</row>
    <row r="23" spans="1:28" x14ac:dyDescent="0.35">
      <c r="D23" s="4">
        <v>-66.238386004999995</v>
      </c>
      <c r="E23" s="4">
        <v>1.4093447169</v>
      </c>
      <c r="F23" s="14"/>
      <c r="G23" s="5"/>
      <c r="H23" s="9"/>
      <c r="I23" s="10"/>
      <c r="J23" s="10"/>
      <c r="K23" s="10"/>
      <c r="L23" s="10"/>
      <c r="M23" s="3"/>
      <c r="N23" s="3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</row>
    <row r="24" spans="1:28" x14ac:dyDescent="0.35">
      <c r="A24" s="49"/>
      <c r="D24" s="4">
        <v>-65.106880575999995</v>
      </c>
      <c r="E24" s="4">
        <v>1.440190774</v>
      </c>
      <c r="F24" s="14"/>
      <c r="G24" s="5"/>
      <c r="H24" s="9"/>
      <c r="I24" s="10"/>
      <c r="J24" s="10"/>
      <c r="K24" s="10"/>
      <c r="L24" s="10"/>
      <c r="M24" s="3"/>
      <c r="N24" s="3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</row>
    <row r="25" spans="1:28" x14ac:dyDescent="0.35">
      <c r="A25" s="4"/>
      <c r="D25" s="4">
        <v>-63.975375147999998</v>
      </c>
      <c r="E25" s="4">
        <v>1.4716989238</v>
      </c>
      <c r="F25" s="14"/>
      <c r="G25" s="5"/>
      <c r="H25" s="9"/>
      <c r="I25" s="10"/>
      <c r="J25" s="10"/>
      <c r="K25" s="10"/>
      <c r="L25" s="10"/>
      <c r="M25" s="3"/>
      <c r="N25" s="3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</row>
    <row r="26" spans="1:28" x14ac:dyDescent="0.35">
      <c r="B26" s="2"/>
      <c r="C26" s="2"/>
      <c r="D26" s="4">
        <v>-62.843869718999997</v>
      </c>
      <c r="E26" s="4">
        <v>1.5038691662000001</v>
      </c>
      <c r="F26" s="14"/>
      <c r="G26" s="7"/>
      <c r="H26" s="7"/>
      <c r="I26" s="7"/>
      <c r="J26" s="7"/>
      <c r="K26" s="7"/>
      <c r="L26" s="7"/>
      <c r="M26" s="3"/>
      <c r="N26" s="3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</row>
    <row r="27" spans="1:28" x14ac:dyDescent="0.35">
      <c r="B27" s="2"/>
      <c r="C27" s="2"/>
      <c r="D27" s="4">
        <v>-61.712364291</v>
      </c>
      <c r="E27" s="4">
        <v>1.5367015014000001</v>
      </c>
      <c r="F27" s="14"/>
      <c r="G27" s="2"/>
      <c r="H27" s="2"/>
      <c r="I27" s="2"/>
      <c r="J27" s="2"/>
      <c r="K27" s="2"/>
      <c r="L27" s="2"/>
      <c r="M27" s="3"/>
      <c r="N27" s="3"/>
      <c r="O27" s="2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</row>
    <row r="28" spans="1:28" x14ac:dyDescent="0.35">
      <c r="D28" s="4">
        <v>-60.580858863000003</v>
      </c>
      <c r="E28" s="4">
        <v>1.5701959292000001</v>
      </c>
      <c r="F28" s="14"/>
      <c r="J28" s="15"/>
      <c r="K28" s="15"/>
      <c r="L28" s="15"/>
    </row>
    <row r="29" spans="1:28" x14ac:dyDescent="0.35">
      <c r="D29" s="4">
        <v>-59.449353434000002</v>
      </c>
      <c r="E29" s="4">
        <v>1.6043524496999999</v>
      </c>
      <c r="F29" s="14"/>
      <c r="G29" s="6"/>
    </row>
    <row r="30" spans="1:28" x14ac:dyDescent="0.35">
      <c r="D30" s="4">
        <v>-58.317848005999998</v>
      </c>
      <c r="E30" s="4">
        <v>1.6391710629</v>
      </c>
      <c r="F30" s="14"/>
      <c r="G30" s="6"/>
    </row>
    <row r="31" spans="1:28" x14ac:dyDescent="0.35">
      <c r="D31" s="4">
        <v>-57.186342578000001</v>
      </c>
      <c r="E31" s="4">
        <v>1.6746517687</v>
      </c>
      <c r="F31" s="14"/>
      <c r="G31" s="6"/>
    </row>
    <row r="32" spans="1:28" x14ac:dyDescent="0.35">
      <c r="D32" s="4">
        <v>-56.054837149000001</v>
      </c>
      <c r="E32" s="4">
        <v>1.7107945673</v>
      </c>
      <c r="F32" s="14"/>
      <c r="G32" s="6"/>
    </row>
    <row r="33" spans="4:28" x14ac:dyDescent="0.35">
      <c r="D33" s="4">
        <v>-54.923331720999997</v>
      </c>
      <c r="E33" s="4">
        <v>1.7475994585000001</v>
      </c>
      <c r="F33" s="14"/>
      <c r="G33" s="6"/>
    </row>
    <row r="34" spans="4:28" x14ac:dyDescent="0.35">
      <c r="D34" s="4">
        <v>-53.791826293</v>
      </c>
      <c r="E34" s="4">
        <v>1.7850664425</v>
      </c>
      <c r="F34" s="14"/>
      <c r="G34" s="6"/>
    </row>
    <row r="35" spans="4:28" x14ac:dyDescent="0.35">
      <c r="D35" s="4">
        <v>-52.687576131999997</v>
      </c>
      <c r="E35" s="4">
        <v>1.8260349221000001</v>
      </c>
      <c r="F35" s="14"/>
      <c r="G35" s="6"/>
    </row>
    <row r="36" spans="4:28" x14ac:dyDescent="0.35">
      <c r="D36" s="4">
        <v>-51.583325971999997</v>
      </c>
      <c r="E36" s="4">
        <v>1.8623436898000001</v>
      </c>
      <c r="F36" s="14"/>
      <c r="G36" s="6"/>
    </row>
    <row r="37" spans="4:28" x14ac:dyDescent="0.35">
      <c r="D37" s="4">
        <v>-50.479075811999998</v>
      </c>
      <c r="E37" s="4">
        <v>1.8939927454000001</v>
      </c>
      <c r="F37" s="14"/>
      <c r="G37" s="6"/>
    </row>
    <row r="38" spans="4:28" x14ac:dyDescent="0.35">
      <c r="D38" s="4">
        <v>-49.374825651999998</v>
      </c>
      <c r="E38" s="4">
        <v>1.9209820891</v>
      </c>
      <c r="F38" s="14"/>
      <c r="G38" s="6"/>
    </row>
    <row r="39" spans="4:28" x14ac:dyDescent="0.35">
      <c r="D39" s="4">
        <v>-48.270575491999999</v>
      </c>
      <c r="E39" s="4">
        <v>1.9433117206999999</v>
      </c>
      <c r="F39" s="14"/>
      <c r="G39" s="6"/>
    </row>
    <row r="40" spans="4:28" x14ac:dyDescent="0.35">
      <c r="D40" s="4">
        <v>-47.166325332</v>
      </c>
      <c r="E40" s="4">
        <v>1.9609816403</v>
      </c>
      <c r="F40" s="14"/>
      <c r="G40" s="4"/>
    </row>
    <row r="41" spans="4:28" x14ac:dyDescent="0.35">
      <c r="D41" s="4">
        <v>-46.062075170999996</v>
      </c>
      <c r="E41" s="4">
        <v>1.9739918478</v>
      </c>
      <c r="F41" s="14"/>
      <c r="G41" s="4"/>
      <c r="O41" s="6"/>
    </row>
    <row r="42" spans="4:28" x14ac:dyDescent="0.35">
      <c r="D42" s="4">
        <v>-44.957825010999997</v>
      </c>
      <c r="E42" s="4">
        <v>1.9823423434</v>
      </c>
      <c r="F42" s="14"/>
      <c r="G42" s="4"/>
      <c r="O42" s="6"/>
    </row>
    <row r="43" spans="4:28" x14ac:dyDescent="0.35">
      <c r="D43" s="4">
        <v>-43.853574850999998</v>
      </c>
      <c r="E43" s="4">
        <v>1.9860331269</v>
      </c>
      <c r="F43" s="14"/>
      <c r="G43" s="16"/>
      <c r="M43" s="3"/>
      <c r="N43" s="3"/>
      <c r="O43" s="2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4:28" x14ac:dyDescent="0.35">
      <c r="D44" s="4">
        <v>-42.749324690999998</v>
      </c>
      <c r="E44" s="4">
        <v>1.9850641984999999</v>
      </c>
      <c r="F44" s="14"/>
      <c r="G44" s="4"/>
      <c r="J44" s="15"/>
      <c r="K44" s="15"/>
      <c r="L44" s="15"/>
      <c r="M44" s="3"/>
      <c r="N44" s="3"/>
      <c r="O44" s="2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4:28" x14ac:dyDescent="0.35">
      <c r="D45" s="4">
        <v>-41.645074530999999</v>
      </c>
      <c r="E45" s="4">
        <v>1.979435558</v>
      </c>
      <c r="F45" s="14"/>
      <c r="J45" s="15"/>
      <c r="K45" s="15"/>
      <c r="L45" s="15"/>
    </row>
    <row r="46" spans="4:28" x14ac:dyDescent="0.35">
      <c r="D46" s="4">
        <v>-40.540824370999999</v>
      </c>
      <c r="E46" s="4">
        <v>1.9691472055000001</v>
      </c>
      <c r="F46" s="14"/>
      <c r="G46" s="2"/>
      <c r="I46" s="2"/>
      <c r="J46" s="2"/>
      <c r="K46" s="2"/>
      <c r="L46" s="14"/>
    </row>
    <row r="47" spans="4:28" x14ac:dyDescent="0.35">
      <c r="D47" s="4">
        <v>-39.436574210000003</v>
      </c>
      <c r="E47" s="4">
        <v>1.9541991409999999</v>
      </c>
      <c r="F47" s="14"/>
      <c r="G47" s="2"/>
      <c r="H47" s="2"/>
      <c r="I47" s="2"/>
      <c r="J47" s="2"/>
      <c r="K47" s="2"/>
      <c r="L47" s="2"/>
    </row>
    <row r="48" spans="4:28" x14ac:dyDescent="0.35">
      <c r="D48" s="4">
        <v>-38.332324049999997</v>
      </c>
      <c r="E48" s="4">
        <v>1.9345913643999999</v>
      </c>
      <c r="F48" s="14"/>
      <c r="G48" s="2"/>
      <c r="H48" s="2"/>
    </row>
    <row r="49" spans="4:6" x14ac:dyDescent="0.35">
      <c r="D49" s="4">
        <v>-37.228073889999997</v>
      </c>
      <c r="E49" s="4">
        <v>1.9103238759000001</v>
      </c>
      <c r="F49" s="14"/>
    </row>
    <row r="50" spans="4:6" x14ac:dyDescent="0.35">
      <c r="D50" s="4">
        <v>-36.123823729999998</v>
      </c>
      <c r="E50" s="4">
        <v>1.8813966753</v>
      </c>
      <c r="F50" s="14"/>
    </row>
    <row r="51" spans="4:6" x14ac:dyDescent="0.35">
      <c r="D51" s="4">
        <v>-34.346502817999998</v>
      </c>
      <c r="E51" s="4">
        <v>1.8060960646999999</v>
      </c>
      <c r="F51" s="14"/>
    </row>
    <row r="52" spans="4:6" x14ac:dyDescent="0.35">
      <c r="D52" s="4">
        <v>-32.569181905000001</v>
      </c>
      <c r="E52" s="4">
        <v>1.6794042566</v>
      </c>
      <c r="F52" s="14"/>
    </row>
    <row r="53" spans="4:6" x14ac:dyDescent="0.35">
      <c r="D53" s="4">
        <v>-30.791860993</v>
      </c>
      <c r="E53" s="4">
        <v>1.5013212508</v>
      </c>
      <c r="F53" s="14"/>
    </row>
    <row r="54" spans="4:6" x14ac:dyDescent="0.35">
      <c r="D54" s="4">
        <v>-29.01454008</v>
      </c>
      <c r="E54" s="4">
        <v>1.2718470473000001</v>
      </c>
      <c r="F54" s="14"/>
    </row>
    <row r="55" spans="4:6" x14ac:dyDescent="0.35">
      <c r="D55" s="4">
        <v>-27.237219167999999</v>
      </c>
      <c r="E55" s="4">
        <v>0.99098164629999996</v>
      </c>
      <c r="F55" s="14"/>
    </row>
    <row r="56" spans="4:6" x14ac:dyDescent="0.35">
      <c r="D56" s="4">
        <v>-25.459898254999999</v>
      </c>
      <c r="E56" s="4">
        <v>0.65872504759999995</v>
      </c>
      <c r="F56" s="14"/>
    </row>
    <row r="57" spans="4:6" x14ac:dyDescent="0.35">
      <c r="D57" s="4">
        <v>-23.682577342999998</v>
      </c>
      <c r="E57" s="4">
        <v>0.2750772514</v>
      </c>
      <c r="F57" s="14"/>
    </row>
    <row r="58" spans="4:6" x14ac:dyDescent="0.35">
      <c r="D58" s="4">
        <v>-21.905256431000002</v>
      </c>
      <c r="E58" s="4">
        <v>-0.1599617425</v>
      </c>
      <c r="F58" s="14"/>
    </row>
    <row r="59" spans="4:6" x14ac:dyDescent="0.35">
      <c r="D59" s="4">
        <v>-20.458468540999998</v>
      </c>
      <c r="E59" s="4">
        <v>-0.64213489960000003</v>
      </c>
      <c r="F59" s="14"/>
    </row>
    <row r="60" spans="4:6" x14ac:dyDescent="0.35">
      <c r="D60" s="4">
        <v>-19.011680651999999</v>
      </c>
      <c r="E60" s="4">
        <v>-1.1472956974999999</v>
      </c>
      <c r="F60" s="14"/>
    </row>
    <row r="61" spans="4:6" x14ac:dyDescent="0.35">
      <c r="D61" s="4">
        <v>-17.564892763</v>
      </c>
      <c r="E61" s="4">
        <v>-1.6754441360000001</v>
      </c>
      <c r="F61" s="14"/>
    </row>
    <row r="62" spans="4:6" x14ac:dyDescent="0.35">
      <c r="D62" s="4">
        <v>-16.118104874</v>
      </c>
      <c r="E62" s="4">
        <v>-2.2265802153999998</v>
      </c>
      <c r="F62" s="14"/>
    </row>
    <row r="63" spans="4:6" x14ac:dyDescent="0.35">
      <c r="D63" s="4">
        <v>-14.671316985000001</v>
      </c>
      <c r="E63" s="4">
        <v>-2.8007039354000001</v>
      </c>
      <c r="F63" s="14"/>
    </row>
    <row r="64" spans="4:6" x14ac:dyDescent="0.35">
      <c r="D64" s="4">
        <v>-13.224529095999999</v>
      </c>
      <c r="E64" s="4">
        <v>-3.3978152962000001</v>
      </c>
      <c r="F64" s="14"/>
    </row>
    <row r="65" spans="4:6" x14ac:dyDescent="0.35">
      <c r="D65" s="4">
        <v>-11.777741207</v>
      </c>
      <c r="E65" s="4">
        <v>-4.0179142977</v>
      </c>
      <c r="F65" s="14"/>
    </row>
    <row r="66" spans="4:6" x14ac:dyDescent="0.35">
      <c r="D66" s="4">
        <v>-10.330953318000001</v>
      </c>
      <c r="E66" s="4">
        <v>-4.6610009400000001</v>
      </c>
      <c r="F66" s="14"/>
    </row>
    <row r="67" spans="4:6" x14ac:dyDescent="0.35">
      <c r="D67" s="4">
        <v>-9.0400031327000008</v>
      </c>
      <c r="E67" s="4">
        <v>-5.2194976229999996</v>
      </c>
      <c r="F67" s="14"/>
    </row>
    <row r="68" spans="4:6" x14ac:dyDescent="0.35">
      <c r="D68" s="4">
        <v>-7.7490529472</v>
      </c>
      <c r="E68" s="4">
        <v>-5.7169993116000004</v>
      </c>
      <c r="F68" s="14"/>
    </row>
    <row r="69" spans="4:6" x14ac:dyDescent="0.35">
      <c r="D69" s="4">
        <v>-6.4581027618000002</v>
      </c>
      <c r="E69" s="4">
        <v>-6.1535060059999998</v>
      </c>
      <c r="F69" s="14"/>
    </row>
    <row r="70" spans="4:6" x14ac:dyDescent="0.35">
      <c r="D70" s="4">
        <v>-5.1671525763000004</v>
      </c>
      <c r="E70" s="4">
        <v>-6.5290177061000003</v>
      </c>
      <c r="F70" s="14"/>
    </row>
    <row r="71" spans="4:6" x14ac:dyDescent="0.35">
      <c r="D71" s="4">
        <v>-3.8762023909000001</v>
      </c>
      <c r="E71" s="4">
        <v>-6.8435344118000003</v>
      </c>
      <c r="F71" s="14"/>
    </row>
    <row r="72" spans="4:6" x14ac:dyDescent="0.35">
      <c r="D72" s="4">
        <v>-2.5852522053999998</v>
      </c>
      <c r="E72" s="4">
        <v>-7.0970561231999998</v>
      </c>
      <c r="F72" s="14"/>
    </row>
    <row r="73" spans="4:6" x14ac:dyDescent="0.35">
      <c r="D73" s="4">
        <v>-1.2943020199999999</v>
      </c>
      <c r="E73" s="4">
        <v>-7.2895828402999996</v>
      </c>
      <c r="F73" s="14"/>
    </row>
    <row r="74" spans="4:6" x14ac:dyDescent="0.35">
      <c r="D74" s="4">
        <v>-3.3518345300000002E-3</v>
      </c>
      <c r="E74" s="4">
        <v>-7.4211145630999997</v>
      </c>
      <c r="F74" s="14"/>
    </row>
    <row r="75" spans="4:6" x14ac:dyDescent="0.35">
      <c r="D75" s="4">
        <v>1.2875532672000001</v>
      </c>
      <c r="E75" s="4">
        <v>-7.2994811291000001</v>
      </c>
      <c r="F75" s="14"/>
    </row>
    <row r="76" spans="4:6" x14ac:dyDescent="0.35">
      <c r="D76" s="4">
        <v>2.5784583688999998</v>
      </c>
      <c r="E76" s="4">
        <v>-7.1126035435999997</v>
      </c>
      <c r="F76" s="14"/>
    </row>
    <row r="77" spans="4:6" x14ac:dyDescent="0.35">
      <c r="D77" s="4">
        <v>3.8693634706000002</v>
      </c>
      <c r="E77" s="4">
        <v>-6.8604818066000002</v>
      </c>
      <c r="F77" s="14"/>
    </row>
    <row r="78" spans="4:6" x14ac:dyDescent="0.35">
      <c r="D78" s="4">
        <v>5.1602685722999997</v>
      </c>
      <c r="E78" s="4">
        <v>-6.5431159181999998</v>
      </c>
      <c r="F78" s="14"/>
    </row>
    <row r="79" spans="4:6" x14ac:dyDescent="0.35">
      <c r="D79" s="4">
        <v>6.4511736739999996</v>
      </c>
      <c r="E79" s="4">
        <v>-6.1605058783000004</v>
      </c>
      <c r="F79" s="14"/>
    </row>
    <row r="80" spans="4:6" x14ac:dyDescent="0.35">
      <c r="D80" s="4">
        <v>7.7420787756999996</v>
      </c>
      <c r="E80" s="4">
        <v>-5.7126516870000001</v>
      </c>
      <c r="F80" s="14"/>
    </row>
    <row r="81" spans="4:6" x14ac:dyDescent="0.35">
      <c r="D81" s="4">
        <v>9.0329838774999995</v>
      </c>
      <c r="E81" s="4">
        <v>-5.1995533441999999</v>
      </c>
      <c r="F81" s="14"/>
    </row>
    <row r="82" spans="4:6" x14ac:dyDescent="0.35">
      <c r="D82" s="4">
        <v>10.323888978999999</v>
      </c>
      <c r="E82" s="4">
        <v>-4.6212108498999998</v>
      </c>
      <c r="F82" s="14"/>
    </row>
    <row r="83" spans="4:6" x14ac:dyDescent="0.35">
      <c r="D83" s="4">
        <v>11.770514916</v>
      </c>
      <c r="E83" s="4">
        <v>-3.9995054967999999</v>
      </c>
      <c r="F83" s="14"/>
    </row>
    <row r="84" spans="4:6" x14ac:dyDescent="0.35">
      <c r="D84" s="4">
        <v>13.217140853</v>
      </c>
      <c r="E84" s="4">
        <v>-3.3968639333000001</v>
      </c>
      <c r="F84" s="14"/>
    </row>
    <row r="85" spans="4:6" x14ac:dyDescent="0.35">
      <c r="D85" s="4">
        <v>14.663766791</v>
      </c>
      <c r="E85" s="4">
        <v>-2.8132861593</v>
      </c>
      <c r="F85" s="14"/>
    </row>
    <row r="86" spans="4:6" x14ac:dyDescent="0.35">
      <c r="D86" s="4">
        <v>16.110392728000001</v>
      </c>
      <c r="E86" s="4">
        <v>-2.2487721748</v>
      </c>
      <c r="F86" s="14"/>
    </row>
    <row r="87" spans="4:6" x14ac:dyDescent="0.35">
      <c r="D87" s="4">
        <v>17.557018665000001</v>
      </c>
      <c r="E87" s="4">
        <v>-1.7033219799999999</v>
      </c>
      <c r="F87" s="14"/>
    </row>
    <row r="88" spans="4:6" x14ac:dyDescent="0.35">
      <c r="D88" s="4">
        <v>19.003644602000001</v>
      </c>
      <c r="E88" s="4">
        <v>-1.1769355746000001</v>
      </c>
      <c r="F88" s="14"/>
    </row>
    <row r="89" spans="4:6" x14ac:dyDescent="0.35">
      <c r="D89" s="4">
        <v>20.450270539000002</v>
      </c>
      <c r="E89" s="4">
        <v>-0.66961295890000005</v>
      </c>
      <c r="F89" s="14"/>
    </row>
    <row r="90" spans="4:6" x14ac:dyDescent="0.35">
      <c r="D90" s="4">
        <v>21.896896475999998</v>
      </c>
      <c r="E90" s="4">
        <v>-0.1813541327</v>
      </c>
      <c r="F90" s="14"/>
    </row>
    <row r="91" spans="4:6" x14ac:dyDescent="0.35">
      <c r="D91" s="4">
        <v>22.785405623999999</v>
      </c>
      <c r="E91" s="4">
        <v>4.8889125999999998E-2</v>
      </c>
      <c r="F91" s="14"/>
    </row>
    <row r="92" spans="4:6" x14ac:dyDescent="0.35">
      <c r="D92" s="4">
        <v>23.673914772</v>
      </c>
      <c r="E92" s="4">
        <v>0.26556610879999998</v>
      </c>
      <c r="F92" s="14"/>
    </row>
    <row r="93" spans="4:6" x14ac:dyDescent="0.35">
      <c r="D93" s="4">
        <v>24.562423920000001</v>
      </c>
      <c r="E93" s="4">
        <v>0.46867681570000003</v>
      </c>
      <c r="F93" s="14"/>
    </row>
    <row r="94" spans="4:6" x14ac:dyDescent="0.35">
      <c r="D94" s="4">
        <v>25.450933068000001</v>
      </c>
      <c r="E94" s="4">
        <v>0.65822124670000004</v>
      </c>
      <c r="F94" s="14"/>
    </row>
    <row r="95" spans="4:6" x14ac:dyDescent="0.35">
      <c r="D95" s="4">
        <v>26.339442215999998</v>
      </c>
      <c r="E95" s="4">
        <v>0.83419940179999996</v>
      </c>
      <c r="F95" s="14"/>
    </row>
    <row r="96" spans="4:6" x14ac:dyDescent="0.35">
      <c r="D96" s="4">
        <v>27.227951364999999</v>
      </c>
      <c r="E96" s="4">
        <v>0.99661128099999996</v>
      </c>
      <c r="F96" s="14"/>
    </row>
    <row r="97" spans="4:6" x14ac:dyDescent="0.35">
      <c r="D97" s="4">
        <v>28.116460513</v>
      </c>
      <c r="E97" s="4">
        <v>1.1454568842999999</v>
      </c>
      <c r="F97" s="14"/>
    </row>
    <row r="98" spans="4:6" x14ac:dyDescent="0.35">
      <c r="D98" s="4">
        <v>29.004969661000001</v>
      </c>
      <c r="E98" s="4">
        <v>1.2807362117000001</v>
      </c>
      <c r="F98" s="14"/>
    </row>
    <row r="99" spans="4:6" x14ac:dyDescent="0.35">
      <c r="D99" s="4">
        <v>29.893478809000001</v>
      </c>
      <c r="E99" s="4">
        <v>1.4024492632000001</v>
      </c>
      <c r="F99" s="14"/>
    </row>
    <row r="100" spans="4:6" x14ac:dyDescent="0.35">
      <c r="D100" s="4">
        <v>30.781987956999998</v>
      </c>
      <c r="E100" s="4">
        <v>1.5105960387999999</v>
      </c>
      <c r="F100" s="14"/>
    </row>
    <row r="101" spans="4:6" x14ac:dyDescent="0.35">
      <c r="D101" s="4">
        <v>31.670497104999999</v>
      </c>
      <c r="E101" s="4">
        <v>1.6051765385000001</v>
      </c>
      <c r="F101" s="14"/>
    </row>
    <row r="102" spans="4:6" x14ac:dyDescent="0.35">
      <c r="D102" s="4">
        <v>32.559006253</v>
      </c>
      <c r="E102" s="4">
        <v>1.6861907623000001</v>
      </c>
      <c r="F102" s="14"/>
    </row>
    <row r="103" spans="4:6" x14ac:dyDescent="0.35">
      <c r="D103" s="4">
        <v>33.447515400999997</v>
      </c>
      <c r="E103" s="4">
        <v>1.7536387102</v>
      </c>
      <c r="F103" s="14"/>
    </row>
    <row r="104" spans="4:6" x14ac:dyDescent="0.35">
      <c r="D104" s="4">
        <v>34.336024549000001</v>
      </c>
      <c r="E104" s="4">
        <v>1.8075203822000001</v>
      </c>
      <c r="F104" s="14"/>
    </row>
    <row r="105" spans="4:6" x14ac:dyDescent="0.35">
      <c r="D105" s="4">
        <v>35.224533696999998</v>
      </c>
      <c r="E105" s="4">
        <v>1.8478357782999999</v>
      </c>
      <c r="F105" s="14"/>
    </row>
    <row r="106" spans="4:6" x14ac:dyDescent="0.35">
      <c r="D106" s="4">
        <v>36.113042845000003</v>
      </c>
      <c r="E106" s="4">
        <v>1.8745848984</v>
      </c>
      <c r="F106" s="14"/>
    </row>
    <row r="107" spans="4:6" x14ac:dyDescent="0.35">
      <c r="D107" s="4">
        <v>37.217216811</v>
      </c>
      <c r="E107" s="4">
        <v>1.908021118</v>
      </c>
      <c r="F107" s="14"/>
    </row>
    <row r="108" spans="4:6" x14ac:dyDescent="0.35">
      <c r="D108" s="4">
        <v>38.321390776000001</v>
      </c>
      <c r="E108" s="4">
        <v>1.9361223730999999</v>
      </c>
      <c r="F108" s="14"/>
    </row>
    <row r="109" spans="4:6" x14ac:dyDescent="0.35">
      <c r="D109" s="4">
        <v>39.425564741000002</v>
      </c>
      <c r="E109" s="4">
        <v>1.9588886636</v>
      </c>
      <c r="F109" s="14"/>
    </row>
    <row r="110" spans="4:6" x14ac:dyDescent="0.35">
      <c r="D110" s="4">
        <v>40.529738707</v>
      </c>
      <c r="E110" s="4">
        <v>1.9763199895000001</v>
      </c>
      <c r="F110" s="14"/>
    </row>
    <row r="111" spans="4:6" x14ac:dyDescent="0.35">
      <c r="D111" s="4">
        <v>41.633912672000001</v>
      </c>
      <c r="E111" s="4">
        <v>1.9884163508999999</v>
      </c>
      <c r="F111" s="14"/>
    </row>
    <row r="112" spans="4:6" x14ac:dyDescent="0.35">
      <c r="D112" s="4">
        <v>42.738086637999999</v>
      </c>
      <c r="E112" s="4">
        <v>1.9951777477999999</v>
      </c>
      <c r="F112" s="14"/>
    </row>
    <row r="113" spans="4:6" x14ac:dyDescent="0.35">
      <c r="D113" s="4">
        <v>43.842260603</v>
      </c>
      <c r="E113" s="4">
        <v>1.9966041801000001</v>
      </c>
      <c r="F113" s="14"/>
    </row>
    <row r="114" spans="4:6" x14ac:dyDescent="0.35">
      <c r="D114" s="4">
        <v>44.946434568999997</v>
      </c>
      <c r="E114" s="4">
        <v>1.9926956479</v>
      </c>
      <c r="F114" s="14"/>
    </row>
    <row r="115" spans="4:6" x14ac:dyDescent="0.35">
      <c r="D115" s="4">
        <v>46.050608533999998</v>
      </c>
      <c r="E115" s="4">
        <v>1.9834521512000001</v>
      </c>
      <c r="F115" s="14"/>
    </row>
    <row r="116" spans="4:6" x14ac:dyDescent="0.35">
      <c r="D116" s="4">
        <v>47.154782500000003</v>
      </c>
      <c r="E116" s="4">
        <v>1.9688736898999999</v>
      </c>
      <c r="F116" s="14"/>
    </row>
    <row r="117" spans="4:6" x14ac:dyDescent="0.35">
      <c r="D117" s="4">
        <v>48.258956464999997</v>
      </c>
      <c r="E117" s="4">
        <v>1.9489602640000001</v>
      </c>
      <c r="F117" s="14"/>
    </row>
    <row r="118" spans="4:6" x14ac:dyDescent="0.35">
      <c r="D118" s="4">
        <v>49.363130431000002</v>
      </c>
      <c r="E118" s="4">
        <v>1.9237118736000001</v>
      </c>
      <c r="F118" s="14"/>
    </row>
    <row r="119" spans="4:6" x14ac:dyDescent="0.35">
      <c r="D119" s="4">
        <v>50.467304396000003</v>
      </c>
      <c r="E119" s="4">
        <v>1.8931285187</v>
      </c>
      <c r="F119" s="14"/>
    </row>
    <row r="120" spans="4:6" x14ac:dyDescent="0.35">
      <c r="D120" s="4">
        <v>51.571478362000001</v>
      </c>
      <c r="E120" s="4">
        <v>1.8572101992000001</v>
      </c>
      <c r="F120" s="14"/>
    </row>
    <row r="121" spans="4:6" x14ac:dyDescent="0.35">
      <c r="D121" s="4">
        <v>52.675652327000002</v>
      </c>
      <c r="E121" s="4">
        <v>1.8159569151999999</v>
      </c>
      <c r="F121" s="14"/>
    </row>
    <row r="122" spans="4:6" x14ac:dyDescent="0.35">
      <c r="D122" s="4">
        <v>53.779826292999999</v>
      </c>
      <c r="E122" s="4">
        <v>1.7693686666999999</v>
      </c>
      <c r="F122" s="14"/>
    </row>
    <row r="123" spans="4:6" x14ac:dyDescent="0.35">
      <c r="D123" s="4">
        <v>54.911331721000003</v>
      </c>
      <c r="E123" s="4">
        <v>1.7344461891</v>
      </c>
      <c r="F123" s="14"/>
    </row>
    <row r="124" spans="4:6" x14ac:dyDescent="0.35">
      <c r="D124" s="4">
        <v>56.042837149</v>
      </c>
      <c r="E124" s="4">
        <v>1.6999739224999999</v>
      </c>
      <c r="F124" s="14"/>
    </row>
    <row r="125" spans="4:6" x14ac:dyDescent="0.35">
      <c r="D125" s="4">
        <v>57.174342578000001</v>
      </c>
      <c r="E125" s="4">
        <v>1.6659518668</v>
      </c>
      <c r="F125" s="14"/>
    </row>
    <row r="126" spans="4:6" x14ac:dyDescent="0.35">
      <c r="D126" s="4">
        <v>58.305848005999998</v>
      </c>
      <c r="E126" s="4">
        <v>1.632380022</v>
      </c>
      <c r="F126" s="14"/>
    </row>
    <row r="127" spans="4:6" x14ac:dyDescent="0.35">
      <c r="D127" s="4">
        <v>59.437353434000002</v>
      </c>
      <c r="E127" s="4">
        <v>1.599258388</v>
      </c>
      <c r="F127" s="14"/>
    </row>
    <row r="128" spans="4:6" x14ac:dyDescent="0.35">
      <c r="D128" s="4">
        <v>60.568858863000003</v>
      </c>
      <c r="E128" s="4">
        <v>1.5665869649999999</v>
      </c>
      <c r="F128" s="14"/>
    </row>
    <row r="129" spans="4:6" x14ac:dyDescent="0.35">
      <c r="D129" s="4">
        <v>61.700364291</v>
      </c>
      <c r="E129" s="4">
        <v>1.5343657529000001</v>
      </c>
      <c r="F129" s="14"/>
    </row>
    <row r="130" spans="4:6" x14ac:dyDescent="0.35">
      <c r="D130" s="4">
        <v>62.831869718999997</v>
      </c>
      <c r="E130" s="4">
        <v>1.5025947517</v>
      </c>
      <c r="F130" s="14"/>
    </row>
    <row r="131" spans="4:6" x14ac:dyDescent="0.35">
      <c r="D131" s="4">
        <v>63.963375147999997</v>
      </c>
      <c r="E131" s="4">
        <v>1.4712739614000001</v>
      </c>
      <c r="F131" s="14"/>
    </row>
    <row r="132" spans="4:6" x14ac:dyDescent="0.35">
      <c r="D132" s="4">
        <v>65.094880575999994</v>
      </c>
      <c r="E132" s="4">
        <v>1.440403382</v>
      </c>
      <c r="F132" s="14"/>
    </row>
    <row r="133" spans="4:6" x14ac:dyDescent="0.35">
      <c r="D133" s="4">
        <v>66.226386004999995</v>
      </c>
      <c r="E133" s="4">
        <v>1.4099830134</v>
      </c>
      <c r="F133" s="14"/>
    </row>
    <row r="134" spans="4:6" x14ac:dyDescent="0.35">
      <c r="D134" s="4">
        <v>67.357891433000006</v>
      </c>
      <c r="E134" s="4">
        <v>1.3800128558</v>
      </c>
      <c r="F134" s="14"/>
    </row>
    <row r="135" spans="4:6" x14ac:dyDescent="0.35">
      <c r="D135" s="4">
        <v>68.489396861000003</v>
      </c>
      <c r="E135" s="4">
        <v>1.3504929091</v>
      </c>
      <c r="F135" s="14"/>
    </row>
    <row r="136" spans="4:6" x14ac:dyDescent="0.35">
      <c r="D136" s="4">
        <v>69.620902290000004</v>
      </c>
      <c r="E136" s="4">
        <v>1.3214231732999999</v>
      </c>
      <c r="F136" s="14"/>
    </row>
    <row r="137" spans="4:6" x14ac:dyDescent="0.35">
      <c r="D137" s="4">
        <v>70.752407718000001</v>
      </c>
      <c r="E137" s="4">
        <v>1.2928036484000001</v>
      </c>
      <c r="F137" s="14"/>
    </row>
    <row r="138" spans="4:6" x14ac:dyDescent="0.35">
      <c r="D138" s="4">
        <v>71.883913145999998</v>
      </c>
      <c r="E138" s="4">
        <v>1.2646343343999999</v>
      </c>
      <c r="F138" s="14"/>
    </row>
    <row r="139" spans="4:6" x14ac:dyDescent="0.35">
      <c r="D139" s="4">
        <v>73.016168574999995</v>
      </c>
      <c r="E139" s="4">
        <v>1.2417634249</v>
      </c>
      <c r="F139" s="14"/>
    </row>
    <row r="140" spans="4:6" x14ac:dyDescent="0.35">
      <c r="D140" s="4">
        <v>74.148424003000002</v>
      </c>
      <c r="E140" s="4">
        <v>1.2204219827</v>
      </c>
      <c r="F140" s="14"/>
    </row>
    <row r="141" spans="4:6" x14ac:dyDescent="0.35">
      <c r="D141" s="4">
        <v>75.280679430999996</v>
      </c>
      <c r="E141" s="4">
        <v>1.2006100077999999</v>
      </c>
      <c r="F141" s="14"/>
    </row>
    <row r="142" spans="4:6" x14ac:dyDescent="0.35">
      <c r="D142" s="4">
        <v>76.412934859999993</v>
      </c>
      <c r="E142" s="4">
        <v>1.1823275003</v>
      </c>
      <c r="F142" s="14"/>
    </row>
    <row r="143" spans="4:6" x14ac:dyDescent="0.35">
      <c r="D143" s="4">
        <v>77.545190288000001</v>
      </c>
      <c r="E143" s="4">
        <v>1.16557446</v>
      </c>
      <c r="F143" s="14"/>
    </row>
    <row r="144" spans="4:6" x14ac:dyDescent="0.35">
      <c r="D144" s="4">
        <v>78.677445715999994</v>
      </c>
      <c r="E144" s="4">
        <v>1.1503508871000001</v>
      </c>
      <c r="F144" s="14"/>
    </row>
    <row r="145" spans="4:6" x14ac:dyDescent="0.35">
      <c r="D145" s="4">
        <v>79.809701145000005</v>
      </c>
      <c r="E145" s="4">
        <v>1.1366567815999999</v>
      </c>
      <c r="F145" s="14"/>
    </row>
    <row r="146" spans="4:6" x14ac:dyDescent="0.35">
      <c r="D146" s="4">
        <v>80.941956572999999</v>
      </c>
      <c r="E146" s="4">
        <v>1.1244921433999999</v>
      </c>
      <c r="F146" s="14"/>
    </row>
    <row r="147" spans="4:6" x14ac:dyDescent="0.35">
      <c r="D147" s="4">
        <v>82.074212001999996</v>
      </c>
      <c r="E147" s="4">
        <v>1.1138569724</v>
      </c>
      <c r="F147" s="14"/>
    </row>
    <row r="148" spans="4:6" x14ac:dyDescent="0.35">
      <c r="D148" s="4">
        <v>83.206467430000004</v>
      </c>
      <c r="E148" s="4">
        <v>1.1047512689000001</v>
      </c>
      <c r="F148" s="14"/>
    </row>
    <row r="149" spans="4:6" x14ac:dyDescent="0.35">
      <c r="D149" s="4">
        <v>84.338722857999997</v>
      </c>
      <c r="E149" s="4">
        <v>1.0971750326</v>
      </c>
      <c r="F149" s="14"/>
    </row>
    <row r="150" spans="4:6" x14ac:dyDescent="0.35">
      <c r="D150" s="4">
        <v>85.470978286999994</v>
      </c>
      <c r="E150" s="4">
        <v>1.0911282636999999</v>
      </c>
      <c r="F150" s="14"/>
    </row>
    <row r="151" spans="4:6" x14ac:dyDescent="0.35">
      <c r="D151" s="4">
        <v>86.603233715000002</v>
      </c>
      <c r="E151" s="4">
        <v>1.0866109621</v>
      </c>
      <c r="F151" s="14"/>
    </row>
    <row r="152" spans="4:6" x14ac:dyDescent="0.35">
      <c r="D152" s="4">
        <v>87.735489142999995</v>
      </c>
      <c r="E152" s="4">
        <v>1.0836231278999999</v>
      </c>
      <c r="F152" s="14"/>
    </row>
    <row r="153" spans="4:6" x14ac:dyDescent="0.35">
      <c r="D153" s="4">
        <v>88.867744572000007</v>
      </c>
      <c r="E153" s="4">
        <v>1.0821647609</v>
      </c>
      <c r="F153" s="14"/>
    </row>
    <row r="154" spans="4:6" x14ac:dyDescent="0.35">
      <c r="D154" s="4">
        <v>90</v>
      </c>
      <c r="E154" s="4">
        <v>1.0822358613</v>
      </c>
      <c r="F154" s="14"/>
    </row>
    <row r="155" spans="4:6" x14ac:dyDescent="0.35">
      <c r="F155" s="14"/>
    </row>
    <row r="156" spans="4:6" x14ac:dyDescent="0.35">
      <c r="F156" s="14"/>
    </row>
  </sheetData>
  <sortState ref="L8:L20">
    <sortCondition ref="L82"/>
  </sortState>
  <mergeCells count="1">
    <mergeCell ref="A19:B19"/>
  </mergeCells>
  <printOptions headings="1"/>
  <pageMargins left="0.70866141732283472" right="0.70866141732283472" top="0.74803149606299213" bottom="0.74803149606299213" header="0.31496062992125984" footer="0.31496062992125984"/>
  <pageSetup paperSize="9" scale="71" orientation="landscape" r:id="rId1"/>
  <ignoredErrors>
    <ignoredError sqref="Q2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TCycle">
                <anchor moveWithCells="1" sizeWithCells="1">
                  <from>
                    <xdr:col>0</xdr:col>
                    <xdr:colOff>0</xdr:colOff>
                    <xdr:row>15</xdr:row>
                    <xdr:rowOff>76200</xdr:rowOff>
                  </from>
                  <to>
                    <xdr:col>1</xdr:col>
                    <xdr:colOff>552450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374</vt:i4>
      </vt:variant>
    </vt:vector>
  </HeadingPairs>
  <TitlesOfParts>
    <vt:vector size="375" baseType="lpstr">
      <vt:lpstr>TBM_GP</vt:lpstr>
      <vt:lpstr>TBM_GP!ExternalData_1000</vt:lpstr>
      <vt:lpstr>TBM_GP!ExternalData_1002</vt:lpstr>
      <vt:lpstr>TBM_GP!ExternalData_1004</vt:lpstr>
      <vt:lpstr>TBM_GP!ExternalData_1006</vt:lpstr>
      <vt:lpstr>TBM_GP!ExternalData_1008</vt:lpstr>
      <vt:lpstr>TBM_GP!ExternalData_1010</vt:lpstr>
      <vt:lpstr>TBM_GP!ExternalData_1012</vt:lpstr>
      <vt:lpstr>TBM_GP!ExternalData_1014</vt:lpstr>
      <vt:lpstr>TBM_GP!ExternalData_1016</vt:lpstr>
      <vt:lpstr>TBM_GP!ExternalData_1018</vt:lpstr>
      <vt:lpstr>TBM_GP!ExternalData_1020</vt:lpstr>
      <vt:lpstr>TBM_GP!ExternalData_1022</vt:lpstr>
      <vt:lpstr>TBM_GP!ExternalData_1024</vt:lpstr>
      <vt:lpstr>TBM_GP!ExternalData_1026</vt:lpstr>
      <vt:lpstr>TBM_GP!ExternalData_1028</vt:lpstr>
      <vt:lpstr>TBM_GP!ExternalData_1030</vt:lpstr>
      <vt:lpstr>TBM_GP!ExternalData_1032</vt:lpstr>
      <vt:lpstr>TBM_GP!ExternalData_1034</vt:lpstr>
      <vt:lpstr>TBM_GP!ExternalData_1036</vt:lpstr>
      <vt:lpstr>TBM_GP!ExternalData_1038</vt:lpstr>
      <vt:lpstr>TBM_GP!ExternalData_1040</vt:lpstr>
      <vt:lpstr>TBM_GP!ExternalData_1042</vt:lpstr>
      <vt:lpstr>TBM_GP!ExternalData_1044</vt:lpstr>
      <vt:lpstr>TBM_GP!ExternalData_1046</vt:lpstr>
      <vt:lpstr>TBM_GP!ExternalData_1048</vt:lpstr>
      <vt:lpstr>TBM_GP!ExternalData_1050</vt:lpstr>
      <vt:lpstr>TBM_GP!ExternalData_1052</vt:lpstr>
      <vt:lpstr>TBM_GP!ExternalData_1054</vt:lpstr>
      <vt:lpstr>TBM_GP!ExternalData_1056</vt:lpstr>
      <vt:lpstr>TBM_GP!ExternalData_1058</vt:lpstr>
      <vt:lpstr>TBM_GP!ExternalData_1060</vt:lpstr>
      <vt:lpstr>TBM_GP!ExternalData_1062</vt:lpstr>
      <vt:lpstr>TBM_GP!ExternalData_1064</vt:lpstr>
      <vt:lpstr>TBM_GP!ExternalData_1066</vt:lpstr>
      <vt:lpstr>TBM_GP!ExternalData_1068</vt:lpstr>
      <vt:lpstr>TBM_GP!ExternalData_1070</vt:lpstr>
      <vt:lpstr>TBM_GP!ExternalData_1072</vt:lpstr>
      <vt:lpstr>TBM_GP!ExternalData_1074</vt:lpstr>
      <vt:lpstr>TBM_GP!ExternalData_1076</vt:lpstr>
      <vt:lpstr>TBM_GP!ExternalData_1078</vt:lpstr>
      <vt:lpstr>TBM_GP!ExternalData_1080</vt:lpstr>
      <vt:lpstr>TBM_GP!ExternalData_1082</vt:lpstr>
      <vt:lpstr>TBM_GP!ExternalData_1084</vt:lpstr>
      <vt:lpstr>TBM_GP!ExternalData_1086</vt:lpstr>
      <vt:lpstr>TBM_GP!ExternalData_1088</vt:lpstr>
      <vt:lpstr>TBM_GP!ExternalData_1090</vt:lpstr>
      <vt:lpstr>TBM_GP!ExternalData_1092</vt:lpstr>
      <vt:lpstr>TBM_GP!ExternalData_1094</vt:lpstr>
      <vt:lpstr>TBM_GP!ExternalData_1096</vt:lpstr>
      <vt:lpstr>TBM_GP!ExternalData_1098</vt:lpstr>
      <vt:lpstr>TBM_GP!ExternalData_1100</vt:lpstr>
      <vt:lpstr>TBM_GP!ExternalData_1102</vt:lpstr>
      <vt:lpstr>TBM_GP!ExternalData_1104</vt:lpstr>
      <vt:lpstr>TBM_GP!ExternalData_1106</vt:lpstr>
      <vt:lpstr>TBM_GP!ExternalData_1108</vt:lpstr>
      <vt:lpstr>TBM_GP!ExternalData_1110</vt:lpstr>
      <vt:lpstr>TBM_GP!ExternalData_1112</vt:lpstr>
      <vt:lpstr>TBM_GP!ExternalData_1114</vt:lpstr>
      <vt:lpstr>TBM_GP!ExternalData_1116</vt:lpstr>
      <vt:lpstr>TBM_GP!ExternalData_1118</vt:lpstr>
      <vt:lpstr>TBM_GP!ExternalData_1120</vt:lpstr>
      <vt:lpstr>TBM_GP!ExternalData_1122</vt:lpstr>
      <vt:lpstr>TBM_GP!ExternalData_1124</vt:lpstr>
      <vt:lpstr>TBM_GP!ExternalData_1126</vt:lpstr>
      <vt:lpstr>TBM_GP!ExternalData_1128</vt:lpstr>
      <vt:lpstr>TBM_GP!ExternalData_1130</vt:lpstr>
      <vt:lpstr>TBM_GP!ExternalData_1132</vt:lpstr>
      <vt:lpstr>TBM_GP!ExternalData_1134</vt:lpstr>
      <vt:lpstr>TBM_GP!ExternalData_1136</vt:lpstr>
      <vt:lpstr>TBM_GP!ExternalData_1138</vt:lpstr>
      <vt:lpstr>TBM_GP!ExternalData_1140</vt:lpstr>
      <vt:lpstr>TBM_GP!ExternalData_1142</vt:lpstr>
      <vt:lpstr>TBM_GP!ExternalData_1144</vt:lpstr>
      <vt:lpstr>TBM_GP!ExternalData_1146</vt:lpstr>
      <vt:lpstr>TBM_GP!ExternalData_1148</vt:lpstr>
      <vt:lpstr>TBM_GP!ExternalData_1150</vt:lpstr>
      <vt:lpstr>TBM_GP!ExternalData_1152</vt:lpstr>
      <vt:lpstr>TBM_GP!ExternalData_1154</vt:lpstr>
      <vt:lpstr>TBM_GP!ExternalData_1156</vt:lpstr>
      <vt:lpstr>TBM_GP!ExternalData_1158</vt:lpstr>
      <vt:lpstr>TBM_GP!ExternalData_1160</vt:lpstr>
      <vt:lpstr>TBM_GP!ExternalData_1162</vt:lpstr>
      <vt:lpstr>TBM_GP!ExternalData_1164</vt:lpstr>
      <vt:lpstr>TBM_GP!ExternalData_1166</vt:lpstr>
      <vt:lpstr>TBM_GP!ExternalData_1168</vt:lpstr>
      <vt:lpstr>TBM_GP!ExternalData_1170</vt:lpstr>
      <vt:lpstr>TBM_GP!ExternalData_1172</vt:lpstr>
      <vt:lpstr>TBM_GP!ExternalData_1174</vt:lpstr>
      <vt:lpstr>TBM_GP!ExternalData_1175</vt:lpstr>
      <vt:lpstr>TBM_GP!ExternalData_1176</vt:lpstr>
      <vt:lpstr>TBM_GP!ExternalData_1177</vt:lpstr>
      <vt:lpstr>TBM_GP!ExternalData_1178</vt:lpstr>
      <vt:lpstr>TBM_GP!ExternalData_1179</vt:lpstr>
      <vt:lpstr>TBM_GP!ExternalData_1180</vt:lpstr>
      <vt:lpstr>TBM_GP!ExternalData_1181</vt:lpstr>
      <vt:lpstr>TBM_GP!ExternalData_1182</vt:lpstr>
      <vt:lpstr>TBM_GP!ExternalData_1183</vt:lpstr>
      <vt:lpstr>TBM_GP!ExternalData_1184</vt:lpstr>
      <vt:lpstr>TBM_GP!ExternalData_1185</vt:lpstr>
      <vt:lpstr>TBM_GP!ExternalData_1186</vt:lpstr>
      <vt:lpstr>TBM_GP!ExternalData_1187</vt:lpstr>
      <vt:lpstr>TBM_GP!ExternalData_1188</vt:lpstr>
      <vt:lpstr>TBM_GP!ExternalData_1189</vt:lpstr>
      <vt:lpstr>TBM_GP!ExternalData_1190</vt:lpstr>
      <vt:lpstr>TBM_GP!ExternalData_1191</vt:lpstr>
      <vt:lpstr>TBM_GP!ExternalData_1192</vt:lpstr>
      <vt:lpstr>TBM_GP!ExternalData_1193</vt:lpstr>
      <vt:lpstr>TBM_GP!ExternalData_1194</vt:lpstr>
      <vt:lpstr>TBM_GP!ExternalData_1195</vt:lpstr>
      <vt:lpstr>TBM_GP!ExternalData_1196</vt:lpstr>
      <vt:lpstr>TBM_GP!ExternalData_1197</vt:lpstr>
      <vt:lpstr>TBM_GP!ExternalData_1198</vt:lpstr>
      <vt:lpstr>TBM_GP!ExternalData_1199</vt:lpstr>
      <vt:lpstr>TBM_GP!ExternalData_1200</vt:lpstr>
      <vt:lpstr>TBM_GP!ExternalData_1201</vt:lpstr>
      <vt:lpstr>TBM_GP!ExternalData_1202</vt:lpstr>
      <vt:lpstr>TBM_GP!ExternalData_1203</vt:lpstr>
      <vt:lpstr>TBM_GP!ExternalData_1204</vt:lpstr>
      <vt:lpstr>TBM_GP!ExternalData_1205</vt:lpstr>
      <vt:lpstr>TBM_GP!ExternalData_1206</vt:lpstr>
      <vt:lpstr>TBM_GP!ExternalData_1207</vt:lpstr>
      <vt:lpstr>TBM_GP!ExternalData_1208</vt:lpstr>
      <vt:lpstr>TBM_GP!ExternalData_1209</vt:lpstr>
      <vt:lpstr>TBM_GP!ExternalData_1210</vt:lpstr>
      <vt:lpstr>TBM_GP!ExternalData_1211</vt:lpstr>
      <vt:lpstr>TBM_GP!ExternalData_1212</vt:lpstr>
      <vt:lpstr>TBM_GP!ExternalData_1213</vt:lpstr>
      <vt:lpstr>TBM_GP!ExternalData_1214</vt:lpstr>
      <vt:lpstr>TBM_GP!ExternalData_1215</vt:lpstr>
      <vt:lpstr>TBM_GP!ExternalData_1216</vt:lpstr>
      <vt:lpstr>TBM_GP!ExternalData_1217</vt:lpstr>
      <vt:lpstr>TBM_GP!ExternalData_1218</vt:lpstr>
      <vt:lpstr>TBM_GP!ExternalData_1219</vt:lpstr>
      <vt:lpstr>TBM_GP!ExternalData_1220</vt:lpstr>
      <vt:lpstr>TBM_GP!ExternalData_1221</vt:lpstr>
      <vt:lpstr>TBM_GP!ExternalData_1222</vt:lpstr>
      <vt:lpstr>TBM_GP!ExternalData_1223</vt:lpstr>
      <vt:lpstr>TBM_GP!ExternalData_1224</vt:lpstr>
      <vt:lpstr>TBM_GP!ExternalData_1225</vt:lpstr>
      <vt:lpstr>TBM_GP!ExternalData_1226</vt:lpstr>
      <vt:lpstr>TBM_GP!ExternalData_1227</vt:lpstr>
      <vt:lpstr>TBM_GP!ExternalData_1228</vt:lpstr>
      <vt:lpstr>TBM_GP!ExternalData_1229</vt:lpstr>
      <vt:lpstr>TBM_GP!ExternalData_1230</vt:lpstr>
      <vt:lpstr>TBM_GP!ExternalData_1231</vt:lpstr>
      <vt:lpstr>TBM_GP!ExternalData_1232</vt:lpstr>
      <vt:lpstr>TBM_GP!ExternalData_1233</vt:lpstr>
      <vt:lpstr>TBM_GP!ExternalData_1234</vt:lpstr>
      <vt:lpstr>TBM_GP!ExternalData_1235</vt:lpstr>
      <vt:lpstr>TBM_GP!ExternalData_1236</vt:lpstr>
      <vt:lpstr>TBM_GP!ExternalData_1237</vt:lpstr>
      <vt:lpstr>TBM_GP!ExternalData_1238</vt:lpstr>
      <vt:lpstr>TBM_GP!ExternalData_1239</vt:lpstr>
      <vt:lpstr>TBM_GP!ExternalData_1240</vt:lpstr>
      <vt:lpstr>TBM_GP!ExternalData_1241</vt:lpstr>
      <vt:lpstr>TBM_GP!ExternalData_1242</vt:lpstr>
      <vt:lpstr>TBM_GP!ExternalData_1243</vt:lpstr>
      <vt:lpstr>TBM_GP!ExternalData_1244</vt:lpstr>
      <vt:lpstr>TBM_GP!ExternalData_1245</vt:lpstr>
      <vt:lpstr>TBM_GP!ExternalData_1246</vt:lpstr>
      <vt:lpstr>TBM_GP!ExternalData_1247</vt:lpstr>
      <vt:lpstr>TBM_GP!ExternalData_1248</vt:lpstr>
      <vt:lpstr>TBM_GP!ExternalData_1249</vt:lpstr>
      <vt:lpstr>TBM_GP!ExternalData_1250</vt:lpstr>
      <vt:lpstr>TBM_GP!ExternalData_1251</vt:lpstr>
      <vt:lpstr>TBM_GP!ExternalData_1252</vt:lpstr>
      <vt:lpstr>TBM_GP!ExternalData_1253</vt:lpstr>
      <vt:lpstr>TBM_GP!ExternalData_1254</vt:lpstr>
      <vt:lpstr>TBM_GP!ExternalData_1255</vt:lpstr>
      <vt:lpstr>TBM_GP!ExternalData_1256</vt:lpstr>
      <vt:lpstr>TBM_GP!ExternalData_1257</vt:lpstr>
      <vt:lpstr>TBM_GP!ExternalData_1258</vt:lpstr>
      <vt:lpstr>TBM_GP!ExternalData_1259</vt:lpstr>
      <vt:lpstr>TBM_GP!ExternalData_1260</vt:lpstr>
      <vt:lpstr>TBM_GP!ExternalData_1261</vt:lpstr>
      <vt:lpstr>TBM_GP!ExternalData_1262</vt:lpstr>
      <vt:lpstr>TBM_GP!ExternalData_1263</vt:lpstr>
      <vt:lpstr>TBM_GP!ExternalData_1264</vt:lpstr>
      <vt:lpstr>TBM_GP!ExternalData_1265</vt:lpstr>
      <vt:lpstr>TBM_GP!ExternalData_1266</vt:lpstr>
      <vt:lpstr>TBM_GP!ExternalData_1267</vt:lpstr>
      <vt:lpstr>TBM_GP!ExternalData_1268</vt:lpstr>
      <vt:lpstr>TBM_GP!ExternalData_1269</vt:lpstr>
      <vt:lpstr>TBM_GP!ExternalData_1270</vt:lpstr>
      <vt:lpstr>TBM_GP!ExternalData_1271</vt:lpstr>
      <vt:lpstr>TBM_GP!ExternalData_1272</vt:lpstr>
      <vt:lpstr>TBM_GP!ExternalData_1273</vt:lpstr>
      <vt:lpstr>TBM_GP!ExternalData_1274</vt:lpstr>
      <vt:lpstr>TBM_GP!ExternalData_1275</vt:lpstr>
      <vt:lpstr>TBM_GP!ExternalData_1276</vt:lpstr>
      <vt:lpstr>TBM_GP!ExternalData_1277</vt:lpstr>
      <vt:lpstr>TBM_GP!ExternalData_1278</vt:lpstr>
      <vt:lpstr>TBM_GP!ExternalData_1279</vt:lpstr>
      <vt:lpstr>TBM_GP!ExternalData_1280</vt:lpstr>
      <vt:lpstr>TBM_GP!ExternalData_1281</vt:lpstr>
      <vt:lpstr>TBM_GP!ExternalData_1282</vt:lpstr>
      <vt:lpstr>TBM_GP!ExternalData_1283</vt:lpstr>
      <vt:lpstr>TBM_GP!ExternalData_1284</vt:lpstr>
      <vt:lpstr>TBM_GP!ExternalData_1285</vt:lpstr>
      <vt:lpstr>TBM_GP!ExternalData_1286</vt:lpstr>
      <vt:lpstr>TBM_GP!ExternalData_1287</vt:lpstr>
      <vt:lpstr>TBM_GP!ExternalData_1288</vt:lpstr>
      <vt:lpstr>TBM_GP!ExternalData_1289</vt:lpstr>
      <vt:lpstr>TBM_GP!ExternalData_1290</vt:lpstr>
      <vt:lpstr>TBM_GP!ExternalData_1291</vt:lpstr>
      <vt:lpstr>TBM_GP!ExternalData_1292</vt:lpstr>
      <vt:lpstr>TBM_GP!ExternalData_1293</vt:lpstr>
      <vt:lpstr>TBM_GP!ExternalData_1294</vt:lpstr>
      <vt:lpstr>TBM_GP!ExternalData_1295</vt:lpstr>
      <vt:lpstr>TBM_GP!ExternalData_1296</vt:lpstr>
      <vt:lpstr>TBM_GP!ExternalData_1297</vt:lpstr>
      <vt:lpstr>TBM_GP!ExternalData_1298</vt:lpstr>
      <vt:lpstr>TBM_GP!ExternalData_1299</vt:lpstr>
      <vt:lpstr>TBM_GP!ExternalData_1300</vt:lpstr>
      <vt:lpstr>TBM_GP!ExternalData_1301</vt:lpstr>
      <vt:lpstr>TBM_GP!ExternalData_1302</vt:lpstr>
      <vt:lpstr>TBM_GP!ExternalData_1303</vt:lpstr>
      <vt:lpstr>TBM_GP!ExternalData_1304</vt:lpstr>
      <vt:lpstr>TBM_GP!ExternalData_1305</vt:lpstr>
      <vt:lpstr>TBM_GP!ExternalData_1306</vt:lpstr>
      <vt:lpstr>TBM_GP!ExternalData_1307</vt:lpstr>
      <vt:lpstr>TBM_GP!ExternalData_1308</vt:lpstr>
      <vt:lpstr>TBM_GP!ExternalData_1309</vt:lpstr>
      <vt:lpstr>TBM_GP!ExternalData_1310</vt:lpstr>
      <vt:lpstr>TBM_GP!ExternalData_1311</vt:lpstr>
      <vt:lpstr>TBM_GP!ExternalData_1312</vt:lpstr>
      <vt:lpstr>TBM_GP!ExternalData_1313</vt:lpstr>
      <vt:lpstr>TBM_GP!ExternalData_1314</vt:lpstr>
      <vt:lpstr>TBM_GP!ExternalData_1315</vt:lpstr>
      <vt:lpstr>TBM_GP!ExternalData_1316</vt:lpstr>
      <vt:lpstr>TBM_GP!ExternalData_1317</vt:lpstr>
      <vt:lpstr>TBM_GP!ExternalData_1318</vt:lpstr>
      <vt:lpstr>TBM_GP!ExternalData_1319</vt:lpstr>
      <vt:lpstr>TBM_GP!ExternalData_1320</vt:lpstr>
      <vt:lpstr>TBM_GP!ExternalData_1321</vt:lpstr>
      <vt:lpstr>TBM_GP!ExternalData_1322</vt:lpstr>
      <vt:lpstr>TBM_GP!ExternalData_1323</vt:lpstr>
      <vt:lpstr>TBM_GP!ExternalData_1324</vt:lpstr>
      <vt:lpstr>TBM_GP!ExternalData_1325</vt:lpstr>
      <vt:lpstr>TBM_GP!ExternalData_1326</vt:lpstr>
      <vt:lpstr>TBM_GP!ExternalData_1327</vt:lpstr>
      <vt:lpstr>TBM_GP!ExternalData_1328</vt:lpstr>
      <vt:lpstr>TBM_GP!ExternalData_1329</vt:lpstr>
      <vt:lpstr>TBM_GP!ExternalData_1330</vt:lpstr>
      <vt:lpstr>TBM_GP!ExternalData_1331</vt:lpstr>
      <vt:lpstr>TBM_GP!ExternalData_1332</vt:lpstr>
      <vt:lpstr>TBM_GP!ExternalData_1333</vt:lpstr>
      <vt:lpstr>TBM_GP!ExternalData_1334</vt:lpstr>
      <vt:lpstr>TBM_GP!ExternalData_1335</vt:lpstr>
      <vt:lpstr>TBM_GP!ExternalData_1336</vt:lpstr>
      <vt:lpstr>TBM_GP!ExternalData_1337</vt:lpstr>
      <vt:lpstr>TBM_GP!ExternalData_1338</vt:lpstr>
      <vt:lpstr>TBM_GP!ExternalData_1339</vt:lpstr>
      <vt:lpstr>TBM_GP!ExternalData_1340</vt:lpstr>
      <vt:lpstr>TBM_GP!ExternalData_1341</vt:lpstr>
      <vt:lpstr>TBM_GP!ExternalData_1342</vt:lpstr>
      <vt:lpstr>TBM_GP!ExternalData_1343</vt:lpstr>
      <vt:lpstr>TBM_GP!ExternalData_1344</vt:lpstr>
      <vt:lpstr>TBM_GP!ExternalData_1345</vt:lpstr>
      <vt:lpstr>TBM_GP!ExternalData_1346</vt:lpstr>
      <vt:lpstr>TBM_GP!ExternalData_1347</vt:lpstr>
      <vt:lpstr>TBM_GP!ExternalData_1348</vt:lpstr>
      <vt:lpstr>TBM_GP!ExternalData_1349</vt:lpstr>
      <vt:lpstr>TBM_GP!ExternalData_1350</vt:lpstr>
      <vt:lpstr>TBM_GP!ExternalData_1351</vt:lpstr>
      <vt:lpstr>TBM_GP!ExternalData_1352</vt:lpstr>
      <vt:lpstr>TBM_GP!ExternalData_1353</vt:lpstr>
      <vt:lpstr>TBM_GP!ExternalData_1354</vt:lpstr>
      <vt:lpstr>TBM_GP!ExternalData_1355</vt:lpstr>
      <vt:lpstr>TBM_GP!ExternalData_1356</vt:lpstr>
      <vt:lpstr>TBM_GP!ExternalData_791</vt:lpstr>
      <vt:lpstr>TBM_GP!ExternalData_793</vt:lpstr>
      <vt:lpstr>TBM_GP!ExternalData_795</vt:lpstr>
      <vt:lpstr>TBM_GP!ExternalData_797</vt:lpstr>
      <vt:lpstr>TBM_GP!ExternalData_799</vt:lpstr>
      <vt:lpstr>TBM_GP!ExternalData_801</vt:lpstr>
      <vt:lpstr>TBM_GP!ExternalData_803</vt:lpstr>
      <vt:lpstr>TBM_GP!ExternalData_805</vt:lpstr>
      <vt:lpstr>TBM_GP!ExternalData_807</vt:lpstr>
      <vt:lpstr>TBM_GP!ExternalData_809</vt:lpstr>
      <vt:lpstr>TBM_GP!ExternalData_811</vt:lpstr>
      <vt:lpstr>TBM_GP!ExternalData_813</vt:lpstr>
      <vt:lpstr>TBM_GP!ExternalData_815</vt:lpstr>
      <vt:lpstr>TBM_GP!ExternalData_817</vt:lpstr>
      <vt:lpstr>TBM_GP!ExternalData_819</vt:lpstr>
      <vt:lpstr>TBM_GP!ExternalData_821</vt:lpstr>
      <vt:lpstr>TBM_GP!ExternalData_823</vt:lpstr>
      <vt:lpstr>TBM_GP!ExternalData_825</vt:lpstr>
      <vt:lpstr>TBM_GP!ExternalData_827</vt:lpstr>
      <vt:lpstr>TBM_GP!ExternalData_829</vt:lpstr>
      <vt:lpstr>TBM_GP!ExternalData_831</vt:lpstr>
      <vt:lpstr>TBM_GP!ExternalData_833</vt:lpstr>
      <vt:lpstr>TBM_GP!ExternalData_835</vt:lpstr>
      <vt:lpstr>TBM_GP!ExternalData_838</vt:lpstr>
      <vt:lpstr>TBM_GP!ExternalData_840</vt:lpstr>
      <vt:lpstr>TBM_GP!ExternalData_842</vt:lpstr>
      <vt:lpstr>TBM_GP!ExternalData_844</vt:lpstr>
      <vt:lpstr>TBM_GP!ExternalData_848</vt:lpstr>
      <vt:lpstr>TBM_GP!ExternalData_850</vt:lpstr>
      <vt:lpstr>TBM_GP!ExternalData_852</vt:lpstr>
      <vt:lpstr>TBM_GP!ExternalData_854</vt:lpstr>
      <vt:lpstr>TBM_GP!ExternalData_856</vt:lpstr>
      <vt:lpstr>TBM_GP!ExternalData_858</vt:lpstr>
      <vt:lpstr>TBM_GP!ExternalData_860</vt:lpstr>
      <vt:lpstr>TBM_GP!ExternalData_862</vt:lpstr>
      <vt:lpstr>TBM_GP!ExternalData_864</vt:lpstr>
      <vt:lpstr>TBM_GP!ExternalData_866</vt:lpstr>
      <vt:lpstr>TBM_GP!ExternalData_868</vt:lpstr>
      <vt:lpstr>TBM_GP!ExternalData_870</vt:lpstr>
      <vt:lpstr>TBM_GP!ExternalData_872</vt:lpstr>
      <vt:lpstr>TBM_GP!ExternalData_874</vt:lpstr>
      <vt:lpstr>TBM_GP!ExternalData_876</vt:lpstr>
      <vt:lpstr>TBM_GP!ExternalData_878</vt:lpstr>
      <vt:lpstr>TBM_GP!ExternalData_880</vt:lpstr>
      <vt:lpstr>TBM_GP!ExternalData_882</vt:lpstr>
      <vt:lpstr>TBM_GP!ExternalData_884</vt:lpstr>
      <vt:lpstr>TBM_GP!ExternalData_886</vt:lpstr>
      <vt:lpstr>TBM_GP!ExternalData_888</vt:lpstr>
      <vt:lpstr>TBM_GP!ExternalData_890</vt:lpstr>
      <vt:lpstr>TBM_GP!ExternalData_892</vt:lpstr>
      <vt:lpstr>TBM_GP!ExternalData_894</vt:lpstr>
      <vt:lpstr>TBM_GP!ExternalData_896</vt:lpstr>
      <vt:lpstr>TBM_GP!ExternalData_898</vt:lpstr>
      <vt:lpstr>TBM_GP!ExternalData_900</vt:lpstr>
      <vt:lpstr>TBM_GP!ExternalData_902</vt:lpstr>
      <vt:lpstr>TBM_GP!ExternalData_904</vt:lpstr>
      <vt:lpstr>TBM_GP!ExternalData_906</vt:lpstr>
      <vt:lpstr>TBM_GP!ExternalData_908</vt:lpstr>
      <vt:lpstr>TBM_GP!ExternalData_910</vt:lpstr>
      <vt:lpstr>TBM_GP!ExternalData_912</vt:lpstr>
      <vt:lpstr>TBM_GP!ExternalData_914</vt:lpstr>
      <vt:lpstr>TBM_GP!ExternalData_916</vt:lpstr>
      <vt:lpstr>TBM_GP!ExternalData_918</vt:lpstr>
      <vt:lpstr>TBM_GP!ExternalData_920</vt:lpstr>
      <vt:lpstr>TBM_GP!ExternalData_922</vt:lpstr>
      <vt:lpstr>TBM_GP!ExternalData_924</vt:lpstr>
      <vt:lpstr>TBM_GP!ExternalData_926</vt:lpstr>
      <vt:lpstr>TBM_GP!ExternalData_928</vt:lpstr>
      <vt:lpstr>TBM_GP!ExternalData_930</vt:lpstr>
      <vt:lpstr>TBM_GP!ExternalData_932</vt:lpstr>
      <vt:lpstr>TBM_GP!ExternalData_934</vt:lpstr>
      <vt:lpstr>TBM_GP!ExternalData_936</vt:lpstr>
      <vt:lpstr>TBM_GP!ExternalData_938</vt:lpstr>
      <vt:lpstr>TBM_GP!ExternalData_940</vt:lpstr>
      <vt:lpstr>TBM_GP!ExternalData_942</vt:lpstr>
      <vt:lpstr>TBM_GP!ExternalData_944</vt:lpstr>
      <vt:lpstr>TBM_GP!ExternalData_946</vt:lpstr>
      <vt:lpstr>TBM_GP!ExternalData_948</vt:lpstr>
      <vt:lpstr>TBM_GP!ExternalData_950</vt:lpstr>
      <vt:lpstr>TBM_GP!ExternalData_952</vt:lpstr>
      <vt:lpstr>TBM_GP!ExternalData_954</vt:lpstr>
      <vt:lpstr>TBM_GP!ExternalData_956</vt:lpstr>
      <vt:lpstr>TBM_GP!ExternalData_958</vt:lpstr>
      <vt:lpstr>TBM_GP!ExternalData_960</vt:lpstr>
      <vt:lpstr>TBM_GP!ExternalData_962</vt:lpstr>
      <vt:lpstr>TBM_GP!ExternalData_964</vt:lpstr>
      <vt:lpstr>TBM_GP!ExternalData_966</vt:lpstr>
      <vt:lpstr>TBM_GP!ExternalData_968</vt:lpstr>
      <vt:lpstr>TBM_GP!ExternalData_970</vt:lpstr>
      <vt:lpstr>TBM_GP!ExternalData_972</vt:lpstr>
      <vt:lpstr>TBM_GP!ExternalData_974</vt:lpstr>
      <vt:lpstr>TBM_GP!ExternalData_976</vt:lpstr>
      <vt:lpstr>TBM_GP!ExternalData_978</vt:lpstr>
      <vt:lpstr>TBM_GP!ExternalData_980</vt:lpstr>
      <vt:lpstr>TBM_GP!ExternalData_982</vt:lpstr>
      <vt:lpstr>TBM_GP!ExternalData_984</vt:lpstr>
      <vt:lpstr>TBM_GP!ExternalData_986</vt:lpstr>
      <vt:lpstr>TBM_GP!ExternalData_988</vt:lpstr>
      <vt:lpstr>TBM_GP!ExternalData_990</vt:lpstr>
      <vt:lpstr>TBM_GP!ExternalData_992</vt:lpstr>
      <vt:lpstr>TBM_GP!ExternalData_994</vt:lpstr>
      <vt:lpstr>TBM_GP!ExternalData_996</vt:lpstr>
      <vt:lpstr>TBM_GP!ExternalData_998</vt:lpstr>
      <vt:lpstr>TBM_GP!Print_Area</vt:lpstr>
    </vt:vector>
  </TitlesOfParts>
  <Company>UGent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DICT</dc:creator>
  <cp:lastModifiedBy>Tiago Dias</cp:lastModifiedBy>
  <cp:lastPrinted>2016-09-16T12:22:37Z</cp:lastPrinted>
  <dcterms:created xsi:type="dcterms:W3CDTF">2014-12-04T09:48:51Z</dcterms:created>
  <dcterms:modified xsi:type="dcterms:W3CDTF">2017-10-24T11:13:33Z</dcterms:modified>
</cp:coreProperties>
</file>